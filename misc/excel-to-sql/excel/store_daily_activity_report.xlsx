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ubreakifix.sharepoint.com/teams/UbifStores/Shared Documents/General/"/>
    </mc:Choice>
  </mc:AlternateContent>
  <xr:revisionPtr revIDLastSave="15103" documentId="11_0B1D56BE9CDCCE836B02CE7A5FB0D4A9BBFD1C62" xr6:coauthVersionLast="47" xr6:coauthVersionMax="47" xr10:uidLastSave="{2A257850-04F2-4285-B97C-0A684E85AD3F}"/>
  <bookViews>
    <workbookView xWindow="-28920" yWindow="15990" windowWidth="29040" windowHeight="15720" xr2:uid="{00000000-000D-0000-FFFF-FFFF00000000}"/>
  </bookViews>
  <sheets>
    <sheet name="May 25" sheetId="14" r:id="rId1"/>
    <sheet name="April 25 " sheetId="13" r:id="rId2"/>
    <sheet name="March 25" sheetId="12" r:id="rId3"/>
    <sheet name="February 25 " sheetId="11" r:id="rId4"/>
    <sheet name="January 25" sheetId="10" r:id="rId5"/>
    <sheet name="December 24" sheetId="9" r:id="rId6"/>
    <sheet name="November 24" sheetId="8" r:id="rId7"/>
    <sheet name="October 24" sheetId="7" r:id="rId8"/>
    <sheet name="September 24" sheetId="6" r:id="rId9"/>
    <sheet name="August 24" sheetId="5" r:id="rId10"/>
    <sheet name="July 24" sheetId="4" r:id="rId11"/>
    <sheet name="June 24" sheetId="3" r:id="rId12"/>
    <sheet name="May 24" sheetId="2" r:id="rId13"/>
    <sheet name="April 24" sheetId="1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7" i="14" l="1"/>
  <c r="B196" i="14"/>
  <c r="B195" i="14"/>
  <c r="B194" i="14"/>
  <c r="B193" i="14"/>
  <c r="C228" i="14"/>
  <c r="M198" i="14"/>
  <c r="B196" i="13"/>
  <c r="B195" i="13"/>
  <c r="B194" i="13"/>
  <c r="B193" i="13"/>
  <c r="B192" i="13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7" i="14"/>
  <c r="C226" i="14"/>
  <c r="C225" i="14"/>
  <c r="D226" i="14" s="1"/>
  <c r="L220" i="14"/>
  <c r="K220" i="14"/>
  <c r="E220" i="14"/>
  <c r="D220" i="14"/>
  <c r="C220" i="14"/>
  <c r="B220" i="14"/>
  <c r="M220" i="14"/>
  <c r="N220" i="14" s="1"/>
  <c r="N219" i="14"/>
  <c r="N218" i="14"/>
  <c r="N217" i="14"/>
  <c r="N216" i="14"/>
  <c r="C213" i="14"/>
  <c r="B213" i="14"/>
  <c r="N213" i="14" s="1"/>
  <c r="N212" i="14"/>
  <c r="N211" i="14"/>
  <c r="N210" i="14"/>
  <c r="N209" i="14"/>
  <c r="L206" i="14"/>
  <c r="K206" i="14"/>
  <c r="I206" i="14"/>
  <c r="F206" i="14"/>
  <c r="C206" i="14"/>
  <c r="B206" i="14"/>
  <c r="M206" i="14"/>
  <c r="N205" i="14"/>
  <c r="N204" i="14"/>
  <c r="N203" i="14"/>
  <c r="N202" i="14"/>
  <c r="N201" i="14"/>
  <c r="N206" i="14" s="1"/>
  <c r="L198" i="14"/>
  <c r="K198" i="14"/>
  <c r="N198" i="14" s="1"/>
  <c r="N197" i="14"/>
  <c r="N196" i="14"/>
  <c r="N195" i="14"/>
  <c r="N194" i="14"/>
  <c r="N193" i="14"/>
  <c r="T187" i="14"/>
  <c r="S187" i="14"/>
  <c r="R187" i="14"/>
  <c r="Q187" i="14"/>
  <c r="M187" i="14"/>
  <c r="L187" i="14"/>
  <c r="K187" i="14"/>
  <c r="J187" i="14"/>
  <c r="F187" i="14"/>
  <c r="E187" i="14"/>
  <c r="D187" i="14"/>
  <c r="C187" i="14"/>
  <c r="G148" i="14"/>
  <c r="F148" i="14"/>
  <c r="E148" i="14"/>
  <c r="D148" i="14"/>
  <c r="C148" i="14"/>
  <c r="G110" i="14"/>
  <c r="F110" i="14"/>
  <c r="E110" i="14"/>
  <c r="D110" i="14"/>
  <c r="C110" i="14"/>
  <c r="G74" i="14"/>
  <c r="F74" i="14"/>
  <c r="E74" i="14"/>
  <c r="D74" i="14"/>
  <c r="C74" i="14"/>
  <c r="G35" i="14"/>
  <c r="F35" i="14"/>
  <c r="E35" i="14"/>
  <c r="D35" i="14"/>
  <c r="C35" i="14"/>
  <c r="M197" i="13"/>
  <c r="B196" i="12"/>
  <c r="B195" i="12"/>
  <c r="B194" i="12"/>
  <c r="B193" i="12"/>
  <c r="B192" i="12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L220" i="13"/>
  <c r="F220" i="13"/>
  <c r="E220" i="13"/>
  <c r="D220" i="13"/>
  <c r="C220" i="13"/>
  <c r="B220" i="13"/>
  <c r="M220" i="13"/>
  <c r="N220" i="13" s="1"/>
  <c r="N219" i="13"/>
  <c r="N218" i="13"/>
  <c r="N217" i="13"/>
  <c r="N216" i="13"/>
  <c r="D213" i="13"/>
  <c r="C213" i="13"/>
  <c r="N213" i="13" s="1"/>
  <c r="N212" i="13"/>
  <c r="N211" i="13"/>
  <c r="N210" i="13"/>
  <c r="N209" i="13"/>
  <c r="L206" i="13"/>
  <c r="J206" i="13"/>
  <c r="G206" i="13"/>
  <c r="D206" i="13"/>
  <c r="C206" i="13"/>
  <c r="B206" i="13"/>
  <c r="M206" i="13"/>
  <c r="N205" i="13"/>
  <c r="N204" i="13"/>
  <c r="N203" i="13"/>
  <c r="N202" i="13"/>
  <c r="N201" i="13"/>
  <c r="N206" i="13" s="1"/>
  <c r="L197" i="13"/>
  <c r="N197" i="13" s="1"/>
  <c r="N196" i="13"/>
  <c r="N195" i="13"/>
  <c r="N194" i="13"/>
  <c r="N193" i="13"/>
  <c r="N192" i="13"/>
  <c r="T187" i="13"/>
  <c r="S187" i="13"/>
  <c r="R187" i="13"/>
  <c r="Q187" i="13"/>
  <c r="M187" i="13"/>
  <c r="L187" i="13"/>
  <c r="K187" i="13"/>
  <c r="J187" i="13"/>
  <c r="F187" i="13"/>
  <c r="E187" i="13"/>
  <c r="D187" i="13"/>
  <c r="C187" i="13"/>
  <c r="G148" i="13"/>
  <c r="F148" i="13"/>
  <c r="E148" i="13"/>
  <c r="D148" i="13"/>
  <c r="C148" i="13"/>
  <c r="G110" i="13"/>
  <c r="F110" i="13"/>
  <c r="E110" i="13"/>
  <c r="D110" i="13"/>
  <c r="C110" i="13"/>
  <c r="G74" i="13"/>
  <c r="F74" i="13"/>
  <c r="E74" i="13"/>
  <c r="D74" i="13"/>
  <c r="C74" i="13"/>
  <c r="G35" i="13"/>
  <c r="F35" i="13"/>
  <c r="E35" i="13"/>
  <c r="D35" i="13"/>
  <c r="C35" i="13"/>
  <c r="T187" i="12"/>
  <c r="S187" i="12"/>
  <c r="R187" i="12"/>
  <c r="Q187" i="12"/>
  <c r="M187" i="12"/>
  <c r="L187" i="12"/>
  <c r="K187" i="12"/>
  <c r="J187" i="12"/>
  <c r="N192" i="12"/>
  <c r="N193" i="12"/>
  <c r="N194" i="12"/>
  <c r="N195" i="12"/>
  <c r="N196" i="12"/>
  <c r="N197" i="12"/>
  <c r="M197" i="12"/>
  <c r="B196" i="11"/>
  <c r="B195" i="11"/>
  <c r="B194" i="11"/>
  <c r="B193" i="11"/>
  <c r="B192" i="11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D225" i="12" s="1"/>
  <c r="G220" i="12"/>
  <c r="F220" i="12"/>
  <c r="E220" i="12"/>
  <c r="D220" i="12"/>
  <c r="C220" i="12"/>
  <c r="B220" i="12"/>
  <c r="M220" i="12"/>
  <c r="N220" i="12" s="1"/>
  <c r="N219" i="12"/>
  <c r="N218" i="12"/>
  <c r="N217" i="12"/>
  <c r="N216" i="12"/>
  <c r="E213" i="12"/>
  <c r="D213" i="12"/>
  <c r="N213" i="12" s="1"/>
  <c r="N212" i="12"/>
  <c r="N211" i="12"/>
  <c r="N210" i="12"/>
  <c r="N209" i="12"/>
  <c r="K206" i="12"/>
  <c r="H206" i="12"/>
  <c r="E206" i="12"/>
  <c r="D206" i="12"/>
  <c r="C206" i="12"/>
  <c r="B206" i="12"/>
  <c r="M206" i="12"/>
  <c r="N205" i="12"/>
  <c r="N204" i="12"/>
  <c r="N203" i="12"/>
  <c r="N202" i="12"/>
  <c r="N201" i="12"/>
  <c r="N206" i="12" s="1"/>
  <c r="F187" i="12"/>
  <c r="E187" i="12"/>
  <c r="D187" i="12"/>
  <c r="C187" i="12"/>
  <c r="G148" i="12"/>
  <c r="F148" i="12"/>
  <c r="E148" i="12"/>
  <c r="D148" i="12"/>
  <c r="C148" i="12"/>
  <c r="G110" i="12"/>
  <c r="F110" i="12"/>
  <c r="E110" i="12"/>
  <c r="D110" i="12"/>
  <c r="C110" i="12"/>
  <c r="G74" i="12"/>
  <c r="F74" i="12"/>
  <c r="E74" i="12"/>
  <c r="D74" i="12"/>
  <c r="C74" i="12"/>
  <c r="G35" i="12"/>
  <c r="F35" i="12"/>
  <c r="E35" i="12"/>
  <c r="D35" i="12"/>
  <c r="C35" i="12"/>
  <c r="N197" i="11"/>
  <c r="N196" i="11"/>
  <c r="N195" i="11"/>
  <c r="N194" i="11"/>
  <c r="N193" i="11"/>
  <c r="N192" i="11"/>
  <c r="B196" i="10"/>
  <c r="B195" i="10"/>
  <c r="B194" i="10"/>
  <c r="B193" i="10"/>
  <c r="B192" i="10"/>
  <c r="G148" i="11"/>
  <c r="F148" i="11"/>
  <c r="G110" i="11"/>
  <c r="F110" i="11"/>
  <c r="G74" i="11"/>
  <c r="F74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D226" i="11" s="1"/>
  <c r="H220" i="11"/>
  <c r="G220" i="11"/>
  <c r="F220" i="11"/>
  <c r="E220" i="11"/>
  <c r="D220" i="11"/>
  <c r="C220" i="11"/>
  <c r="B220" i="11"/>
  <c r="N219" i="11"/>
  <c r="N218" i="11"/>
  <c r="N217" i="11"/>
  <c r="N216" i="11"/>
  <c r="F213" i="11"/>
  <c r="N213" i="11" s="1"/>
  <c r="E213" i="11"/>
  <c r="N212" i="11"/>
  <c r="N211" i="11"/>
  <c r="N210" i="11"/>
  <c r="N209" i="11"/>
  <c r="L206" i="11"/>
  <c r="I206" i="11"/>
  <c r="F206" i="11"/>
  <c r="E206" i="11"/>
  <c r="D206" i="11"/>
  <c r="C206" i="11"/>
  <c r="B206" i="11"/>
  <c r="N205" i="11"/>
  <c r="N204" i="11"/>
  <c r="N203" i="11"/>
  <c r="N202" i="11"/>
  <c r="N201" i="11"/>
  <c r="N206" i="11" s="1"/>
  <c r="F187" i="11"/>
  <c r="E187" i="11"/>
  <c r="D187" i="11"/>
  <c r="C187" i="11"/>
  <c r="E148" i="11"/>
  <c r="D148" i="11"/>
  <c r="C148" i="11"/>
  <c r="E110" i="11"/>
  <c r="D110" i="11"/>
  <c r="C110" i="11"/>
  <c r="E74" i="11"/>
  <c r="D74" i="11"/>
  <c r="C74" i="11"/>
  <c r="G35" i="11"/>
  <c r="F35" i="11"/>
  <c r="E35" i="11"/>
  <c r="D35" i="11"/>
  <c r="C35" i="11"/>
  <c r="C255" i="10"/>
  <c r="N205" i="10"/>
  <c r="N204" i="10"/>
  <c r="N203" i="10"/>
  <c r="N202" i="10"/>
  <c r="N201" i="10"/>
  <c r="N206" i="10" s="1"/>
  <c r="N220" i="10"/>
  <c r="N219" i="10"/>
  <c r="N218" i="10"/>
  <c r="N217" i="10"/>
  <c r="N216" i="10"/>
  <c r="N213" i="10"/>
  <c r="N212" i="10"/>
  <c r="N211" i="10"/>
  <c r="N210" i="10"/>
  <c r="N209" i="10"/>
  <c r="M206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I220" i="10"/>
  <c r="H220" i="10"/>
  <c r="G220" i="10"/>
  <c r="F220" i="10"/>
  <c r="E220" i="10"/>
  <c r="D220" i="10"/>
  <c r="C220" i="10"/>
  <c r="G213" i="10"/>
  <c r="F213" i="10"/>
  <c r="J206" i="10"/>
  <c r="G206" i="10"/>
  <c r="F206" i="10"/>
  <c r="E206" i="10"/>
  <c r="D206" i="10"/>
  <c r="C206" i="10"/>
  <c r="F187" i="10"/>
  <c r="E187" i="10"/>
  <c r="D187" i="10"/>
  <c r="C187" i="10"/>
  <c r="G148" i="10"/>
  <c r="F148" i="10"/>
  <c r="E148" i="10"/>
  <c r="D148" i="10"/>
  <c r="C148" i="10"/>
  <c r="G110" i="10"/>
  <c r="F110" i="10"/>
  <c r="E110" i="10"/>
  <c r="D110" i="10"/>
  <c r="C110" i="10"/>
  <c r="G74" i="10"/>
  <c r="F74" i="10"/>
  <c r="E74" i="10"/>
  <c r="D74" i="10"/>
  <c r="C74" i="10"/>
  <c r="G35" i="10"/>
  <c r="F35" i="10"/>
  <c r="E35" i="10"/>
  <c r="D35" i="10"/>
  <c r="C35" i="10"/>
  <c r="O198" i="9"/>
  <c r="O196" i="9"/>
  <c r="O195" i="9"/>
  <c r="O194" i="9"/>
  <c r="O193" i="9"/>
  <c r="O192" i="9"/>
  <c r="O197" i="9" s="1"/>
  <c r="M198" i="9"/>
  <c r="M198" i="8"/>
  <c r="B196" i="8"/>
  <c r="B195" i="8"/>
  <c r="B194" i="8"/>
  <c r="B193" i="8"/>
  <c r="B192" i="8"/>
  <c r="G110" i="9"/>
  <c r="G148" i="9"/>
  <c r="H148" i="9"/>
  <c r="O209" i="9"/>
  <c r="O210" i="9"/>
  <c r="O211" i="9"/>
  <c r="O212" i="9"/>
  <c r="E213" i="9"/>
  <c r="F213" i="9"/>
  <c r="G213" i="9"/>
  <c r="H213" i="9"/>
  <c r="I213" i="9"/>
  <c r="J213" i="9"/>
  <c r="K213" i="9"/>
  <c r="O213" i="9"/>
  <c r="C216" i="9"/>
  <c r="D216" i="9" s="1"/>
  <c r="C217" i="9"/>
  <c r="D217" i="9" s="1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O201" i="9"/>
  <c r="O202" i="9"/>
  <c r="O203" i="9"/>
  <c r="O204" i="9"/>
  <c r="H205" i="9"/>
  <c r="I205" i="9"/>
  <c r="O205" i="9"/>
  <c r="E197" i="9"/>
  <c r="F197" i="9"/>
  <c r="G197" i="9"/>
  <c r="H197" i="9"/>
  <c r="I197" i="9"/>
  <c r="L197" i="9"/>
  <c r="D198" i="9"/>
  <c r="E198" i="9"/>
  <c r="F198" i="9"/>
  <c r="G198" i="9"/>
  <c r="H198" i="9"/>
  <c r="I198" i="9"/>
  <c r="L198" i="9"/>
  <c r="C187" i="9"/>
  <c r="B196" i="9" s="1"/>
  <c r="D187" i="9"/>
  <c r="E187" i="9"/>
  <c r="F187" i="9"/>
  <c r="G187" i="9"/>
  <c r="C148" i="9"/>
  <c r="B195" i="9" s="1"/>
  <c r="D148" i="9"/>
  <c r="E148" i="9"/>
  <c r="F148" i="9"/>
  <c r="H110" i="9"/>
  <c r="C110" i="9"/>
  <c r="B194" i="9" s="1"/>
  <c r="D110" i="9"/>
  <c r="E110" i="9"/>
  <c r="F110" i="9"/>
  <c r="C74" i="9"/>
  <c r="B193" i="9" s="1"/>
  <c r="D74" i="9"/>
  <c r="E74" i="9"/>
  <c r="F74" i="9"/>
  <c r="G74" i="9"/>
  <c r="H74" i="9"/>
  <c r="C35" i="9"/>
  <c r="B192" i="9" s="1"/>
  <c r="D35" i="9"/>
  <c r="E35" i="9"/>
  <c r="F35" i="9"/>
  <c r="G35" i="9"/>
  <c r="H35" i="9"/>
  <c r="G187" i="8"/>
  <c r="N196" i="8"/>
  <c r="N195" i="8"/>
  <c r="N194" i="8"/>
  <c r="N193" i="8"/>
  <c r="N192" i="8"/>
  <c r="J148" i="8"/>
  <c r="J74" i="8"/>
  <c r="J110" i="8"/>
  <c r="J35" i="8"/>
  <c r="C246" i="7"/>
  <c r="D246" i="7" s="1"/>
  <c r="B196" i="7"/>
  <c r="B195" i="7"/>
  <c r="B194" i="7"/>
  <c r="B193" i="7"/>
  <c r="B192" i="7"/>
  <c r="C110" i="8"/>
  <c r="D110" i="8"/>
  <c r="E110" i="8"/>
  <c r="F110" i="8"/>
  <c r="H110" i="8"/>
  <c r="C216" i="8"/>
  <c r="D216" i="8" s="1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N209" i="8"/>
  <c r="N210" i="8"/>
  <c r="N211" i="8"/>
  <c r="N212" i="8"/>
  <c r="E213" i="8"/>
  <c r="F213" i="8"/>
  <c r="G213" i="8"/>
  <c r="H213" i="8"/>
  <c r="I213" i="8"/>
  <c r="J213" i="8"/>
  <c r="K213" i="8"/>
  <c r="N213" i="8"/>
  <c r="N201" i="8"/>
  <c r="N202" i="8"/>
  <c r="N203" i="8"/>
  <c r="N204" i="8"/>
  <c r="H205" i="8"/>
  <c r="I205" i="8"/>
  <c r="N205" i="8"/>
  <c r="E197" i="8"/>
  <c r="E198" i="8" s="1"/>
  <c r="N198" i="8" s="1"/>
  <c r="F197" i="8"/>
  <c r="F198" i="8" s="1"/>
  <c r="G197" i="8"/>
  <c r="H197" i="8"/>
  <c r="I197" i="8"/>
  <c r="L197" i="8"/>
  <c r="D198" i="8"/>
  <c r="G198" i="8"/>
  <c r="H198" i="8"/>
  <c r="I198" i="8"/>
  <c r="L198" i="8"/>
  <c r="C187" i="8"/>
  <c r="D187" i="8"/>
  <c r="E187" i="8"/>
  <c r="F187" i="8"/>
  <c r="C148" i="8"/>
  <c r="D148" i="8"/>
  <c r="E148" i="8"/>
  <c r="F148" i="8"/>
  <c r="H148" i="8"/>
  <c r="C74" i="8"/>
  <c r="D74" i="8"/>
  <c r="E74" i="8"/>
  <c r="F74" i="8"/>
  <c r="G74" i="8"/>
  <c r="H74" i="8"/>
  <c r="C35" i="8"/>
  <c r="D35" i="8"/>
  <c r="E35" i="8"/>
  <c r="F35" i="8"/>
  <c r="G35" i="8"/>
  <c r="H35" i="8"/>
  <c r="B192" i="6"/>
  <c r="N196" i="7"/>
  <c r="N194" i="7"/>
  <c r="N193" i="7"/>
  <c r="N192" i="7"/>
  <c r="N195" i="7"/>
  <c r="M197" i="7"/>
  <c r="M198" i="7" s="1"/>
  <c r="C197" i="14" l="1"/>
  <c r="C193" i="14"/>
  <c r="C194" i="14"/>
  <c r="C195" i="14"/>
  <c r="C196" i="14"/>
  <c r="D227" i="14"/>
  <c r="D228" i="14" s="1"/>
  <c r="D229" i="14" s="1"/>
  <c r="D230" i="14" s="1"/>
  <c r="D231" i="14" s="1"/>
  <c r="D232" i="14" s="1"/>
  <c r="D233" i="14" s="1"/>
  <c r="D234" i="14" s="1"/>
  <c r="D235" i="14" s="1"/>
  <c r="D236" i="14" s="1"/>
  <c r="D237" i="14" s="1"/>
  <c r="D238" i="14" s="1"/>
  <c r="D239" i="14" s="1"/>
  <c r="D240" i="14" s="1"/>
  <c r="D241" i="14" s="1"/>
  <c r="D242" i="14" s="1"/>
  <c r="D243" i="14" s="1"/>
  <c r="D244" i="14" s="1"/>
  <c r="D245" i="14" s="1"/>
  <c r="D246" i="14" s="1"/>
  <c r="D247" i="14" s="1"/>
  <c r="D248" i="14" s="1"/>
  <c r="D249" i="14" s="1"/>
  <c r="D250" i="14" s="1"/>
  <c r="D251" i="14" s="1"/>
  <c r="D252" i="14" s="1"/>
  <c r="D253" i="14" s="1"/>
  <c r="D254" i="14" s="1"/>
  <c r="D255" i="14" s="1"/>
  <c r="D225" i="14"/>
  <c r="C196" i="13"/>
  <c r="C194" i="13"/>
  <c r="C193" i="13"/>
  <c r="C192" i="13"/>
  <c r="C195" i="13"/>
  <c r="D226" i="13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38" i="13" s="1"/>
  <c r="D239" i="13" s="1"/>
  <c r="D240" i="13" s="1"/>
  <c r="D241" i="13" s="1"/>
  <c r="D242" i="13" s="1"/>
  <c r="D243" i="13" s="1"/>
  <c r="D244" i="13" s="1"/>
  <c r="D245" i="13" s="1"/>
  <c r="D246" i="13" s="1"/>
  <c r="D247" i="13" s="1"/>
  <c r="D248" i="13" s="1"/>
  <c r="D249" i="13" s="1"/>
  <c r="D250" i="13" s="1"/>
  <c r="D251" i="13" s="1"/>
  <c r="D252" i="13" s="1"/>
  <c r="D253" i="13" s="1"/>
  <c r="D254" i="13" s="1"/>
  <c r="D255" i="13" s="1"/>
  <c r="D225" i="13"/>
  <c r="C195" i="12"/>
  <c r="C193" i="12"/>
  <c r="C194" i="12"/>
  <c r="D226" i="12"/>
  <c r="D227" i="12" s="1"/>
  <c r="D228" i="12" s="1"/>
  <c r="D229" i="12" s="1"/>
  <c r="D230" i="12" s="1"/>
  <c r="D231" i="12" s="1"/>
  <c r="D232" i="12" s="1"/>
  <c r="D233" i="12" s="1"/>
  <c r="D234" i="12" s="1"/>
  <c r="D235" i="12" s="1"/>
  <c r="D236" i="12" s="1"/>
  <c r="D237" i="12" s="1"/>
  <c r="D238" i="12" s="1"/>
  <c r="D239" i="12" s="1"/>
  <c r="D240" i="12" s="1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C192" i="12"/>
  <c r="D227" i="1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41" i="11" s="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53" i="11" s="1"/>
  <c r="D254" i="11" s="1"/>
  <c r="D255" i="11" s="1"/>
  <c r="N220" i="11"/>
  <c r="C193" i="11"/>
  <c r="C195" i="11"/>
  <c r="C194" i="11"/>
  <c r="B197" i="11"/>
  <c r="B198" i="11" s="1"/>
  <c r="C192" i="11"/>
  <c r="D225" i="11"/>
  <c r="C192" i="10"/>
  <c r="C195" i="10"/>
  <c r="C194" i="10"/>
  <c r="C193" i="10"/>
  <c r="D226" i="10"/>
  <c r="D227" i="10" s="1"/>
  <c r="D228" i="10" s="1"/>
  <c r="D229" i="10" s="1"/>
  <c r="D230" i="10" s="1"/>
  <c r="D231" i="10" s="1"/>
  <c r="D232" i="10" s="1"/>
  <c r="D233" i="10" s="1"/>
  <c r="D234" i="10" s="1"/>
  <c r="D235" i="10" s="1"/>
  <c r="D236" i="10" s="1"/>
  <c r="D237" i="10" s="1"/>
  <c r="D238" i="10" s="1"/>
  <c r="D239" i="10" s="1"/>
  <c r="D240" i="10" s="1"/>
  <c r="D241" i="10" s="1"/>
  <c r="D242" i="10" s="1"/>
  <c r="D243" i="10" s="1"/>
  <c r="D244" i="10" s="1"/>
  <c r="D245" i="10" s="1"/>
  <c r="D246" i="10" s="1"/>
  <c r="D247" i="10" s="1"/>
  <c r="D248" i="10" s="1"/>
  <c r="D249" i="10" s="1"/>
  <c r="D250" i="10" s="1"/>
  <c r="D251" i="10" s="1"/>
  <c r="D252" i="10" s="1"/>
  <c r="D253" i="10" s="1"/>
  <c r="D254" i="10" s="1"/>
  <c r="D255" i="10" s="1"/>
  <c r="B197" i="10"/>
  <c r="B198" i="10" s="1"/>
  <c r="D225" i="10"/>
  <c r="C195" i="9"/>
  <c r="C194" i="9"/>
  <c r="C193" i="9"/>
  <c r="C192" i="9"/>
  <c r="D218" i="9"/>
  <c r="D219" i="9" s="1"/>
  <c r="D220" i="9" s="1"/>
  <c r="D221" i="9" s="1"/>
  <c r="D222" i="9" s="1"/>
  <c r="D223" i="9" s="1"/>
  <c r="D224" i="9" s="1"/>
  <c r="D225" i="9" s="1"/>
  <c r="D226" i="9" s="1"/>
  <c r="D227" i="9" s="1"/>
  <c r="D228" i="9" s="1"/>
  <c r="D229" i="9" s="1"/>
  <c r="D230" i="9" s="1"/>
  <c r="D231" i="9" s="1"/>
  <c r="D232" i="9" s="1"/>
  <c r="D233" i="9" s="1"/>
  <c r="D234" i="9" s="1"/>
  <c r="D235" i="9" s="1"/>
  <c r="D236" i="9" s="1"/>
  <c r="D237" i="9" s="1"/>
  <c r="D238" i="9" s="1"/>
  <c r="D239" i="9" s="1"/>
  <c r="D240" i="9" s="1"/>
  <c r="D241" i="9" s="1"/>
  <c r="D242" i="9" s="1"/>
  <c r="D243" i="9" s="1"/>
  <c r="D244" i="9" s="1"/>
  <c r="D245" i="9" s="1"/>
  <c r="C195" i="8"/>
  <c r="C194" i="8"/>
  <c r="C193" i="8"/>
  <c r="D217" i="8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N197" i="8"/>
  <c r="B197" i="8"/>
  <c r="B198" i="8" s="1"/>
  <c r="C192" i="8"/>
  <c r="B196" i="6"/>
  <c r="B195" i="6"/>
  <c r="B194" i="6"/>
  <c r="B193" i="6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D216" i="7" s="1"/>
  <c r="L213" i="7"/>
  <c r="K213" i="7"/>
  <c r="J213" i="7"/>
  <c r="I213" i="7"/>
  <c r="H213" i="7"/>
  <c r="G213" i="7"/>
  <c r="F213" i="7"/>
  <c r="N213" i="7" s="1"/>
  <c r="N212" i="7"/>
  <c r="N211" i="7"/>
  <c r="N210" i="7"/>
  <c r="N209" i="7"/>
  <c r="N205" i="7"/>
  <c r="J205" i="7"/>
  <c r="I205" i="7"/>
  <c r="N204" i="7"/>
  <c r="N203" i="7"/>
  <c r="N202" i="7"/>
  <c r="N201" i="7"/>
  <c r="E198" i="7"/>
  <c r="J197" i="7"/>
  <c r="J198" i="7" s="1"/>
  <c r="I197" i="7"/>
  <c r="I198" i="7" s="1"/>
  <c r="H197" i="7"/>
  <c r="H198" i="7" s="1"/>
  <c r="G197" i="7"/>
  <c r="G198" i="7" s="1"/>
  <c r="F197" i="7"/>
  <c r="F187" i="7"/>
  <c r="E187" i="7"/>
  <c r="D187" i="7"/>
  <c r="C187" i="7"/>
  <c r="H148" i="7"/>
  <c r="F148" i="7"/>
  <c r="E148" i="7"/>
  <c r="D148" i="7"/>
  <c r="C148" i="7"/>
  <c r="H110" i="7"/>
  <c r="F110" i="7"/>
  <c r="E110" i="7"/>
  <c r="D110" i="7"/>
  <c r="C110" i="7"/>
  <c r="H74" i="7"/>
  <c r="G74" i="7"/>
  <c r="F74" i="7"/>
  <c r="E74" i="7"/>
  <c r="D74" i="7"/>
  <c r="C74" i="7"/>
  <c r="H35" i="7"/>
  <c r="G35" i="7"/>
  <c r="F35" i="7"/>
  <c r="E35" i="7"/>
  <c r="D35" i="7"/>
  <c r="C35" i="7"/>
  <c r="N195" i="6"/>
  <c r="N197" i="6" s="1"/>
  <c r="N196" i="6"/>
  <c r="N194" i="6"/>
  <c r="N193" i="6"/>
  <c r="N192" i="6"/>
  <c r="G74" i="6"/>
  <c r="G35" i="6"/>
  <c r="C216" i="6"/>
  <c r="D216" i="6"/>
  <c r="C217" i="6"/>
  <c r="D217" i="6" s="1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N209" i="6"/>
  <c r="N210" i="6"/>
  <c r="N211" i="6"/>
  <c r="N212" i="6"/>
  <c r="M213" i="6"/>
  <c r="G213" i="6"/>
  <c r="H213" i="6"/>
  <c r="I213" i="6"/>
  <c r="J213" i="6"/>
  <c r="K213" i="6"/>
  <c r="L213" i="6"/>
  <c r="N201" i="6"/>
  <c r="N202" i="6"/>
  <c r="N203" i="6"/>
  <c r="N204" i="6"/>
  <c r="J205" i="6"/>
  <c r="K205" i="6"/>
  <c r="G197" i="6"/>
  <c r="G198" i="6" s="1"/>
  <c r="H197" i="6"/>
  <c r="H198" i="6" s="1"/>
  <c r="I197" i="6"/>
  <c r="I198" i="6" s="1"/>
  <c r="J197" i="6"/>
  <c r="J198" i="6" s="1"/>
  <c r="K197" i="6"/>
  <c r="K198" i="6" s="1"/>
  <c r="N198" i="6" s="1"/>
  <c r="F198" i="6"/>
  <c r="C187" i="6"/>
  <c r="D187" i="6"/>
  <c r="E187" i="6"/>
  <c r="F187" i="6"/>
  <c r="C148" i="6"/>
  <c r="D148" i="6"/>
  <c r="E148" i="6"/>
  <c r="F148" i="6"/>
  <c r="H148" i="6"/>
  <c r="C110" i="6"/>
  <c r="D110" i="6"/>
  <c r="E110" i="6"/>
  <c r="F110" i="6"/>
  <c r="H110" i="6"/>
  <c r="C74" i="6"/>
  <c r="D74" i="6"/>
  <c r="E74" i="6"/>
  <c r="F74" i="6"/>
  <c r="H74" i="6"/>
  <c r="C35" i="6"/>
  <c r="D35" i="6"/>
  <c r="E35" i="6"/>
  <c r="F35" i="6"/>
  <c r="H35" i="6"/>
  <c r="B196" i="5"/>
  <c r="B193" i="5"/>
  <c r="B192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D217" i="5" s="1"/>
  <c r="D218" i="5" s="1"/>
  <c r="D219" i="5" s="1"/>
  <c r="D220" i="5" s="1"/>
  <c r="D221" i="5" s="1"/>
  <c r="D222" i="5" s="1"/>
  <c r="D223" i="5" s="1"/>
  <c r="N205" i="5"/>
  <c r="N210" i="5"/>
  <c r="N211" i="5"/>
  <c r="N212" i="5"/>
  <c r="N209" i="5"/>
  <c r="N202" i="5"/>
  <c r="N203" i="5"/>
  <c r="N204" i="5"/>
  <c r="N201" i="5"/>
  <c r="N192" i="5"/>
  <c r="N193" i="5"/>
  <c r="N195" i="5"/>
  <c r="N191" i="5"/>
  <c r="H148" i="5"/>
  <c r="F148" i="5"/>
  <c r="E148" i="5"/>
  <c r="D148" i="5"/>
  <c r="C148" i="5"/>
  <c r="B195" i="5" s="1"/>
  <c r="F187" i="5"/>
  <c r="E187" i="5"/>
  <c r="D187" i="5"/>
  <c r="C187" i="5"/>
  <c r="L213" i="5"/>
  <c r="K213" i="5"/>
  <c r="J213" i="5"/>
  <c r="I213" i="5"/>
  <c r="N213" i="5" s="1"/>
  <c r="H213" i="5"/>
  <c r="B213" i="5"/>
  <c r="M213" i="5"/>
  <c r="L205" i="5"/>
  <c r="K205" i="5"/>
  <c r="G197" i="5"/>
  <c r="L196" i="5"/>
  <c r="L197" i="5" s="1"/>
  <c r="K196" i="5"/>
  <c r="K197" i="5" s="1"/>
  <c r="J196" i="5"/>
  <c r="J197" i="5" s="1"/>
  <c r="I196" i="5"/>
  <c r="I197" i="5" s="1"/>
  <c r="H196" i="5"/>
  <c r="H197" i="5" s="1"/>
  <c r="N197" i="5" s="1"/>
  <c r="H110" i="5"/>
  <c r="F110" i="5"/>
  <c r="E110" i="5"/>
  <c r="D110" i="5"/>
  <c r="C110" i="5"/>
  <c r="B194" i="5" s="1"/>
  <c r="H74" i="5"/>
  <c r="F74" i="5"/>
  <c r="E74" i="5"/>
  <c r="D74" i="5"/>
  <c r="C74" i="5"/>
  <c r="H35" i="5"/>
  <c r="F35" i="5"/>
  <c r="E35" i="5"/>
  <c r="D35" i="5"/>
  <c r="C35" i="5"/>
  <c r="B173" i="4"/>
  <c r="B172" i="4"/>
  <c r="B171" i="4"/>
  <c r="B170" i="4"/>
  <c r="B169" i="4"/>
  <c r="N188" i="4"/>
  <c r="N187" i="4"/>
  <c r="N186" i="4"/>
  <c r="N181" i="4"/>
  <c r="N180" i="4"/>
  <c r="N179" i="4"/>
  <c r="N178" i="4"/>
  <c r="N173" i="4"/>
  <c r="N171" i="4"/>
  <c r="N170" i="4"/>
  <c r="N169" i="4"/>
  <c r="D125" i="4"/>
  <c r="E125" i="4"/>
  <c r="F125" i="4"/>
  <c r="H125" i="4"/>
  <c r="C125" i="4"/>
  <c r="M174" i="4"/>
  <c r="M175" i="4" s="1"/>
  <c r="N154" i="3"/>
  <c r="N155" i="3"/>
  <c r="N156" i="3"/>
  <c r="N157" i="3"/>
  <c r="L190" i="4"/>
  <c r="K190" i="4"/>
  <c r="J190" i="4"/>
  <c r="I190" i="4"/>
  <c r="C190" i="4"/>
  <c r="B190" i="4"/>
  <c r="M190" i="4"/>
  <c r="L182" i="4"/>
  <c r="M182" i="4"/>
  <c r="H175" i="4"/>
  <c r="L174" i="4"/>
  <c r="L175" i="4" s="1"/>
  <c r="K174" i="4"/>
  <c r="K175" i="4" s="1"/>
  <c r="J174" i="4"/>
  <c r="J175" i="4" s="1"/>
  <c r="I174" i="4"/>
  <c r="I175" i="4" s="1"/>
  <c r="F164" i="4"/>
  <c r="E164" i="4"/>
  <c r="D164" i="4"/>
  <c r="C164" i="4"/>
  <c r="H110" i="4"/>
  <c r="F110" i="4"/>
  <c r="E110" i="4"/>
  <c r="D110" i="4"/>
  <c r="C110" i="4"/>
  <c r="H74" i="4"/>
  <c r="F74" i="4"/>
  <c r="E74" i="4"/>
  <c r="D74" i="4"/>
  <c r="C74" i="4"/>
  <c r="H35" i="4"/>
  <c r="F35" i="4"/>
  <c r="E35" i="4"/>
  <c r="D35" i="4"/>
  <c r="C35" i="4"/>
  <c r="C198" i="14" l="1"/>
  <c r="B198" i="14"/>
  <c r="B199" i="14" s="1"/>
  <c r="B197" i="13"/>
  <c r="B198" i="13" s="1"/>
  <c r="C197" i="13"/>
  <c r="C197" i="12"/>
  <c r="B197" i="12"/>
  <c r="B198" i="12" s="1"/>
  <c r="C197" i="11"/>
  <c r="C197" i="10"/>
  <c r="C197" i="9"/>
  <c r="B197" i="9"/>
  <c r="B198" i="9" s="1"/>
  <c r="C197" i="8"/>
  <c r="C195" i="7"/>
  <c r="C194" i="7"/>
  <c r="C193" i="7"/>
  <c r="C192" i="7"/>
  <c r="F198" i="7"/>
  <c r="N198" i="7" s="1"/>
  <c r="N197" i="7"/>
  <c r="D217" i="7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N213" i="6"/>
  <c r="B197" i="6"/>
  <c r="B198" i="6" s="1"/>
  <c r="N205" i="6"/>
  <c r="D218" i="6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C194" i="6"/>
  <c r="C193" i="6"/>
  <c r="C195" i="6"/>
  <c r="C192" i="6"/>
  <c r="N194" i="5"/>
  <c r="N196" i="5" s="1"/>
  <c r="D224" i="5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16" i="5"/>
  <c r="C194" i="5"/>
  <c r="C195" i="5"/>
  <c r="C193" i="5"/>
  <c r="C192" i="5"/>
  <c r="C171" i="4"/>
  <c r="C172" i="4"/>
  <c r="C169" i="4"/>
  <c r="C170" i="4"/>
  <c r="B174" i="4"/>
  <c r="B175" i="4" s="1"/>
  <c r="B157" i="3"/>
  <c r="B156" i="3"/>
  <c r="B155" i="3"/>
  <c r="B154" i="3"/>
  <c r="N170" i="3"/>
  <c r="N171" i="3"/>
  <c r="N172" i="3"/>
  <c r="N173" i="3"/>
  <c r="N162" i="3"/>
  <c r="N163" i="3"/>
  <c r="N164" i="3"/>
  <c r="N165" i="3"/>
  <c r="F110" i="3"/>
  <c r="F74" i="3"/>
  <c r="F35" i="3"/>
  <c r="M158" i="3"/>
  <c r="M159" i="3" s="1"/>
  <c r="B157" i="2"/>
  <c r="B156" i="2"/>
  <c r="B155" i="2"/>
  <c r="B154" i="2"/>
  <c r="M174" i="3"/>
  <c r="B174" i="3"/>
  <c r="C174" i="3"/>
  <c r="D174" i="3"/>
  <c r="J174" i="3"/>
  <c r="K174" i="3"/>
  <c r="L174" i="3"/>
  <c r="M166" i="3"/>
  <c r="B166" i="3"/>
  <c r="J158" i="3"/>
  <c r="K158" i="3"/>
  <c r="K159" i="3" s="1"/>
  <c r="L158" i="3"/>
  <c r="L159" i="3" s="1"/>
  <c r="I159" i="3"/>
  <c r="J159" i="3"/>
  <c r="C149" i="3"/>
  <c r="D149" i="3"/>
  <c r="E149" i="3"/>
  <c r="F149" i="3"/>
  <c r="C110" i="3"/>
  <c r="D110" i="3"/>
  <c r="E110" i="3"/>
  <c r="H110" i="3"/>
  <c r="C74" i="3"/>
  <c r="D74" i="3"/>
  <c r="E74" i="3"/>
  <c r="H74" i="3"/>
  <c r="C35" i="3"/>
  <c r="D35" i="3"/>
  <c r="E35" i="3"/>
  <c r="H35" i="3"/>
  <c r="B166" i="2"/>
  <c r="C166" i="2"/>
  <c r="B174" i="2"/>
  <c r="C174" i="2"/>
  <c r="D174" i="2"/>
  <c r="E174" i="2"/>
  <c r="K174" i="2"/>
  <c r="L174" i="2"/>
  <c r="M158" i="2"/>
  <c r="M159" i="2"/>
  <c r="M174" i="2"/>
  <c r="N158" i="1"/>
  <c r="N159" i="1"/>
  <c r="B157" i="1"/>
  <c r="B156" i="1"/>
  <c r="B155" i="1"/>
  <c r="B154" i="1"/>
  <c r="F149" i="2"/>
  <c r="J159" i="2"/>
  <c r="L158" i="2"/>
  <c r="L159" i="2" s="1"/>
  <c r="K158" i="2"/>
  <c r="K159" i="2" s="1"/>
  <c r="E149" i="2"/>
  <c r="D149" i="2"/>
  <c r="C149" i="2"/>
  <c r="G110" i="2"/>
  <c r="E110" i="2"/>
  <c r="D110" i="2"/>
  <c r="C110" i="2"/>
  <c r="G74" i="2"/>
  <c r="E74" i="2"/>
  <c r="D74" i="2"/>
  <c r="C74" i="2"/>
  <c r="G35" i="2"/>
  <c r="E35" i="2"/>
  <c r="D35" i="2"/>
  <c r="C35" i="2"/>
  <c r="M174" i="1"/>
  <c r="L174" i="1"/>
  <c r="F174" i="1"/>
  <c r="E174" i="1"/>
  <c r="D174" i="1"/>
  <c r="C174" i="1"/>
  <c r="B174" i="1"/>
  <c r="D166" i="1"/>
  <c r="C166" i="1"/>
  <c r="K159" i="1"/>
  <c r="M158" i="1"/>
  <c r="M159" i="1" s="1"/>
  <c r="L158" i="1"/>
  <c r="L159" i="1" s="1"/>
  <c r="E149" i="1"/>
  <c r="D149" i="1"/>
  <c r="C149" i="1"/>
  <c r="G110" i="1"/>
  <c r="E110" i="1"/>
  <c r="D110" i="1"/>
  <c r="C110" i="1"/>
  <c r="G74" i="1"/>
  <c r="E74" i="1"/>
  <c r="D74" i="1"/>
  <c r="C74" i="1"/>
  <c r="G35" i="1"/>
  <c r="E35" i="1"/>
  <c r="D35" i="1"/>
  <c r="C35" i="1"/>
  <c r="B197" i="7" l="1"/>
  <c r="B198" i="7" s="1"/>
  <c r="C197" i="7"/>
  <c r="C197" i="6"/>
  <c r="B197" i="5"/>
  <c r="B198" i="5" s="1"/>
  <c r="C197" i="5"/>
  <c r="C174" i="4"/>
  <c r="C155" i="3"/>
  <c r="C156" i="3"/>
  <c r="C154" i="3"/>
  <c r="B158" i="2"/>
  <c r="B159" i="2" s="1"/>
  <c r="C155" i="2"/>
  <c r="C154" i="2"/>
  <c r="C156" i="2"/>
  <c r="C156" i="1"/>
  <c r="C155" i="1"/>
  <c r="C154" i="1"/>
  <c r="C158" i="3" l="1"/>
  <c r="B158" i="3"/>
  <c r="B159" i="3" s="1"/>
  <c r="C158" i="2"/>
  <c r="C158" i="1"/>
  <c r="B158" i="1"/>
  <c r="B159" i="1" s="1"/>
</calcChain>
</file>

<file path=xl/sharedStrings.xml><?xml version="1.0" encoding="utf-8"?>
<sst xmlns="http://schemas.openxmlformats.org/spreadsheetml/2006/main" count="5872" uniqueCount="1236">
  <si>
    <t>Sales</t>
  </si>
  <si>
    <t>Washington Sq.</t>
  </si>
  <si>
    <t>Accessory</t>
  </si>
  <si>
    <t>Home Connect</t>
  </si>
  <si>
    <t>Home Plus</t>
  </si>
  <si>
    <t>Carrier Services</t>
  </si>
  <si>
    <t>Pending Repairs</t>
  </si>
  <si>
    <t>Repairs</t>
  </si>
  <si>
    <t>Queue/Progress/  Awaiting/Need</t>
  </si>
  <si>
    <t>Dropped Off</t>
  </si>
  <si>
    <t>Thursday</t>
  </si>
  <si>
    <t>39/13/16/5</t>
  </si>
  <si>
    <t>Goal</t>
  </si>
  <si>
    <t>Friday</t>
  </si>
  <si>
    <t>41/10/16/5</t>
  </si>
  <si>
    <t>Overall Sales</t>
  </si>
  <si>
    <t>Saturday</t>
  </si>
  <si>
    <t>Accessory Sales</t>
  </si>
  <si>
    <t>Sunday</t>
  </si>
  <si>
    <t>Connected Home</t>
  </si>
  <si>
    <t>Monday</t>
  </si>
  <si>
    <t>45/12/15/6</t>
  </si>
  <si>
    <t>Tuesday</t>
  </si>
  <si>
    <t>43/11/13/5</t>
  </si>
  <si>
    <t>Wednesday</t>
  </si>
  <si>
    <t>45/11/12/5</t>
  </si>
  <si>
    <t>46/12/12/5</t>
  </si>
  <si>
    <t>34/11/16/7</t>
  </si>
  <si>
    <t>37/10/20/8</t>
  </si>
  <si>
    <t>36/7/18/7</t>
  </si>
  <si>
    <t>42/7/13/7</t>
  </si>
  <si>
    <t>40/7/17/8</t>
  </si>
  <si>
    <t>40/9/18/8</t>
  </si>
  <si>
    <t>39/8/18/8</t>
  </si>
  <si>
    <t>38/10/16/8</t>
  </si>
  <si>
    <t>41/10/17/9</t>
  </si>
  <si>
    <t>47/9/16/9</t>
  </si>
  <si>
    <t>Sherwood</t>
  </si>
  <si>
    <t>5/3/4/2</t>
  </si>
  <si>
    <t>5/2/7/0</t>
  </si>
  <si>
    <t>9/2/4/2</t>
  </si>
  <si>
    <t>8/2/7/1</t>
  </si>
  <si>
    <t>9/2/6/2</t>
  </si>
  <si>
    <t>10/3/5/1</t>
  </si>
  <si>
    <t>11/1/7/2</t>
  </si>
  <si>
    <t>6/3/4/3</t>
  </si>
  <si>
    <t>10/3/5/3</t>
  </si>
  <si>
    <t>11/3/6/3</t>
  </si>
  <si>
    <t>11/4/7/3</t>
  </si>
  <si>
    <t>8/4/5/3</t>
  </si>
  <si>
    <t>7/3/4/3</t>
  </si>
  <si>
    <t>3/3/4/5</t>
  </si>
  <si>
    <t>6/2/6/2</t>
  </si>
  <si>
    <t>Mill Plain</t>
  </si>
  <si>
    <t>6/4/13/1</t>
  </si>
  <si>
    <t>4/4/11/1</t>
  </si>
  <si>
    <t>10/2/11/0</t>
  </si>
  <si>
    <t>11/3/8/0</t>
  </si>
  <si>
    <t>8/1/6/2</t>
  </si>
  <si>
    <t>5/3/4/1</t>
  </si>
  <si>
    <t>4/3/4/1</t>
  </si>
  <si>
    <t>7/3/4/1</t>
  </si>
  <si>
    <t>3/3/6/1</t>
  </si>
  <si>
    <t>7/3/5/2</t>
  </si>
  <si>
    <t>1/1/9/2</t>
  </si>
  <si>
    <t>4/2/10/2</t>
  </si>
  <si>
    <t>1/1/10/5</t>
  </si>
  <si>
    <t>7/3/6/3</t>
  </si>
  <si>
    <t>4/5/8/2</t>
  </si>
  <si>
    <t>9/6/9/2</t>
  </si>
  <si>
    <t>Jantzen Beach</t>
  </si>
  <si>
    <t>2/0/5/1</t>
  </si>
  <si>
    <t>4/0/5/1</t>
  </si>
  <si>
    <t>1/0/4/0</t>
  </si>
  <si>
    <t>4/0/2/1</t>
  </si>
  <si>
    <t>3/0/1/2</t>
  </si>
  <si>
    <t>2/0/1/2</t>
  </si>
  <si>
    <t>0/0/1/2</t>
  </si>
  <si>
    <t>1/0/3/0</t>
  </si>
  <si>
    <t>1/1/1/0</t>
  </si>
  <si>
    <t>3/0/3/2</t>
  </si>
  <si>
    <t>4/0/4/2</t>
  </si>
  <si>
    <t>5/0/5/0</t>
  </si>
  <si>
    <t>3/0/7/0</t>
  </si>
  <si>
    <t>6/0/4/0</t>
  </si>
  <si>
    <t>RT Market</t>
  </si>
  <si>
    <t>FSL Eugene</t>
  </si>
  <si>
    <t>FSL Salem</t>
  </si>
  <si>
    <t>RT</t>
  </si>
  <si>
    <t xml:space="preserve">Pending </t>
  </si>
  <si>
    <t>RT Home Connect</t>
  </si>
  <si>
    <t xml:space="preserve">Screen Protector </t>
  </si>
  <si>
    <t>May  25'</t>
  </si>
  <si>
    <t>GOAL</t>
  </si>
  <si>
    <t>Jan 25'</t>
  </si>
  <si>
    <t>Feb 25'</t>
  </si>
  <si>
    <t>March 25'</t>
  </si>
  <si>
    <t>April 25'</t>
  </si>
  <si>
    <t>AVG</t>
  </si>
  <si>
    <t>WASQ</t>
  </si>
  <si>
    <t>MP</t>
  </si>
  <si>
    <t>Total</t>
  </si>
  <si>
    <t>All</t>
  </si>
  <si>
    <t>May 24'</t>
  </si>
  <si>
    <t>June 24'</t>
  </si>
  <si>
    <t>July 24'</t>
  </si>
  <si>
    <t>August 24'</t>
  </si>
  <si>
    <t>September 24'</t>
  </si>
  <si>
    <t>October 24'</t>
  </si>
  <si>
    <t>November  24'</t>
  </si>
  <si>
    <t>Dec 24"</t>
  </si>
  <si>
    <t>Jan 24'</t>
  </si>
  <si>
    <t>Feb 24'</t>
  </si>
  <si>
    <t>March 24'</t>
  </si>
  <si>
    <t>April 24'</t>
  </si>
  <si>
    <t>JB</t>
  </si>
  <si>
    <t>May 23'</t>
  </si>
  <si>
    <t>June 23'</t>
  </si>
  <si>
    <t>July 23'</t>
  </si>
  <si>
    <t>August 23'</t>
  </si>
  <si>
    <t>Sept. 23'</t>
  </si>
  <si>
    <t>Oct. 23'</t>
  </si>
  <si>
    <t>Nov. 23'</t>
  </si>
  <si>
    <t>Dec 23"</t>
  </si>
  <si>
    <t>Jan 23"</t>
  </si>
  <si>
    <t>Feb 23"</t>
  </si>
  <si>
    <t>March 23'</t>
  </si>
  <si>
    <t>April 23'</t>
  </si>
  <si>
    <t>May 22"</t>
  </si>
  <si>
    <t>June 22"</t>
  </si>
  <si>
    <t>July22"</t>
  </si>
  <si>
    <t>Aug 22"</t>
  </si>
  <si>
    <t>Sept 22"</t>
  </si>
  <si>
    <t>Oct 22"</t>
  </si>
  <si>
    <t>Nov 22"</t>
  </si>
  <si>
    <t>Dec 22"</t>
  </si>
  <si>
    <t>Jan 22"</t>
  </si>
  <si>
    <t>Feb 22"</t>
  </si>
  <si>
    <t>March 22"</t>
  </si>
  <si>
    <t>April 22"</t>
  </si>
  <si>
    <t> </t>
  </si>
  <si>
    <t>Daily Total</t>
  </si>
  <si>
    <t>Running Total</t>
  </si>
  <si>
    <t>Cleanings</t>
  </si>
  <si>
    <t>73/16/15/8</t>
  </si>
  <si>
    <t>69/13/21/7</t>
  </si>
  <si>
    <t>73/13/21/7</t>
  </si>
  <si>
    <t>75/11/21/7</t>
  </si>
  <si>
    <t>72/15/19/7</t>
  </si>
  <si>
    <t>71/17/18/7</t>
  </si>
  <si>
    <t>69/15/16/5</t>
  </si>
  <si>
    <t>66/15/15/6</t>
  </si>
  <si>
    <t>65/14/15/7</t>
  </si>
  <si>
    <t>58/15/18/7</t>
  </si>
  <si>
    <t>66/15/18/8</t>
  </si>
  <si>
    <t>69/16/18/10</t>
  </si>
  <si>
    <t>66/17/18/10</t>
  </si>
  <si>
    <t>60/8/21/9</t>
  </si>
  <si>
    <t>65/8/21/9</t>
  </si>
  <si>
    <t>67/9/21/9</t>
  </si>
  <si>
    <t>74/8/19/7</t>
  </si>
  <si>
    <t>69/9/19/6</t>
  </si>
  <si>
    <t>64/10/21/6</t>
  </si>
  <si>
    <t>66/8/22/5</t>
  </si>
  <si>
    <t>67/7/22/5</t>
  </si>
  <si>
    <t>60/7/20/5</t>
  </si>
  <si>
    <t>68/8/19/5</t>
  </si>
  <si>
    <t>59/9/24/5</t>
  </si>
  <si>
    <t>58/12/17/5</t>
  </si>
  <si>
    <t>37/10/15/5</t>
  </si>
  <si>
    <t>9/3/8/0</t>
  </si>
  <si>
    <t>8/4/6/1</t>
  </si>
  <si>
    <t>5/4/6/1</t>
  </si>
  <si>
    <t>4/3/6/0</t>
  </si>
  <si>
    <t>5/1/5/0</t>
  </si>
  <si>
    <t>4/3/4/0</t>
  </si>
  <si>
    <t>2/2/4/1</t>
  </si>
  <si>
    <t>4/1/8/0</t>
  </si>
  <si>
    <t>2/2/6/0</t>
  </si>
  <si>
    <t>3/1/6/2</t>
  </si>
  <si>
    <t>6/1/7/3</t>
  </si>
  <si>
    <t>6/1/9/0</t>
  </si>
  <si>
    <t>6/2/7/2</t>
  </si>
  <si>
    <t>5/1/11/0</t>
  </si>
  <si>
    <t>5/1/10/0</t>
  </si>
  <si>
    <t>6/1/10/0</t>
  </si>
  <si>
    <t>4/2/9/0</t>
  </si>
  <si>
    <t>3/1/6/0</t>
  </si>
  <si>
    <t>3/4/4/0</t>
  </si>
  <si>
    <t>3/4/5/0</t>
  </si>
  <si>
    <t>6/4/5/1</t>
  </si>
  <si>
    <t>7/5/8/0</t>
  </si>
  <si>
    <t>6/3/5/0</t>
  </si>
  <si>
    <t>5/4/9/3</t>
  </si>
  <si>
    <t>10/3/11/2</t>
  </si>
  <si>
    <t>11/4/11/2</t>
  </si>
  <si>
    <t>9/4/13/1</t>
  </si>
  <si>
    <t>13/4/9/1</t>
  </si>
  <si>
    <t>14/4/9/2</t>
  </si>
  <si>
    <t>14/4/6/2</t>
  </si>
  <si>
    <t>13/5/5/3</t>
  </si>
  <si>
    <t>17/6/5/3</t>
  </si>
  <si>
    <t>16/5/5/3</t>
  </si>
  <si>
    <t>3/4/8/4</t>
  </si>
  <si>
    <t>7/4/10/2</t>
  </si>
  <si>
    <t>9/3/13/1</t>
  </si>
  <si>
    <t>6/5/8/1</t>
  </si>
  <si>
    <t>8/3/8/1</t>
  </si>
  <si>
    <t>1/2/8/2</t>
  </si>
  <si>
    <t>1/3/7/3</t>
  </si>
  <si>
    <t>2/2/8/2</t>
  </si>
  <si>
    <t>1/2/11/1</t>
  </si>
  <si>
    <t>2/3/10/1</t>
  </si>
  <si>
    <t>3/2/12/1</t>
  </si>
  <si>
    <t>5/3/11/1</t>
  </si>
  <si>
    <t>4/2/13/1</t>
  </si>
  <si>
    <t>4/3/11/1</t>
  </si>
  <si>
    <t>7/4/10/1</t>
  </si>
  <si>
    <t>5/3/12/1</t>
  </si>
  <si>
    <t>6/0/4/4</t>
  </si>
  <si>
    <t>4/0/5/3</t>
  </si>
  <si>
    <t>8/0/4/6</t>
  </si>
  <si>
    <t>6/0/4/6</t>
  </si>
  <si>
    <t>4/0/2/6</t>
  </si>
  <si>
    <t>5/1/2/8</t>
  </si>
  <si>
    <t>4/1/6/2</t>
  </si>
  <si>
    <t>6/0/7/5</t>
  </si>
  <si>
    <t>5/0/5/6</t>
  </si>
  <si>
    <t>7/0/5/6</t>
  </si>
  <si>
    <t>9/0/5/6</t>
  </si>
  <si>
    <t>4/1/9/0</t>
  </si>
  <si>
    <t>3/2/9/0</t>
  </si>
  <si>
    <t>9/1/4/1</t>
  </si>
  <si>
    <t>10/1/5/1</t>
  </si>
  <si>
    <t>12/1/5/2</t>
  </si>
  <si>
    <t>9/2/3/5</t>
  </si>
  <si>
    <t>3/7/0/1</t>
  </si>
  <si>
    <t>5/0/5/1</t>
  </si>
  <si>
    <t>5/1/6/1</t>
  </si>
  <si>
    <t>6/0/5/1</t>
  </si>
  <si>
    <t>7/0/5/2</t>
  </si>
  <si>
    <t>3/0/3/1</t>
  </si>
  <si>
    <t>5/0/3/1</t>
  </si>
  <si>
    <t>3/0/7/1</t>
  </si>
  <si>
    <t>3/0/5/1</t>
  </si>
  <si>
    <t>April  25'</t>
  </si>
  <si>
    <t>88/13/14/7</t>
  </si>
  <si>
    <t>88/13/13/7</t>
  </si>
  <si>
    <t>76/14/20/6</t>
  </si>
  <si>
    <t>71/15/19/6</t>
  </si>
  <si>
    <t>75/15/18/6</t>
  </si>
  <si>
    <t>72/15/17/6</t>
  </si>
  <si>
    <t>74/14/16/6</t>
  </si>
  <si>
    <t>74/15/16/5</t>
  </si>
  <si>
    <t>77/12/16/6</t>
  </si>
  <si>
    <t>69/13/17/6</t>
  </si>
  <si>
    <t>60/12/15/6</t>
  </si>
  <si>
    <t>58/10/14/6</t>
  </si>
  <si>
    <t>57/10/13/6</t>
  </si>
  <si>
    <t>60/11/13/6</t>
  </si>
  <si>
    <t>57/11/13/6</t>
  </si>
  <si>
    <t>54/13/16/6</t>
  </si>
  <si>
    <t>62/14/14/6</t>
  </si>
  <si>
    <t>55/30/14/6</t>
  </si>
  <si>
    <t>57/16/11/6</t>
  </si>
  <si>
    <t>64/14/16/5</t>
  </si>
  <si>
    <t>68/21/19/5</t>
  </si>
  <si>
    <t>62/21/18/6</t>
  </si>
  <si>
    <t>68/22/18/7</t>
  </si>
  <si>
    <t>73/14/15/7</t>
  </si>
  <si>
    <t>69/14/14/8</t>
  </si>
  <si>
    <t>9/5/3/0</t>
  </si>
  <si>
    <t>10/4/6/3</t>
  </si>
  <si>
    <t>17/4/6/3</t>
  </si>
  <si>
    <t>11/3/11/1</t>
  </si>
  <si>
    <t>12/3/10/1</t>
  </si>
  <si>
    <t>11/4/9/4</t>
  </si>
  <si>
    <t>8/3/9/1</t>
  </si>
  <si>
    <t>7/3/9/1</t>
  </si>
  <si>
    <t>5/3/11/2</t>
  </si>
  <si>
    <t>6/3/9/1</t>
  </si>
  <si>
    <t>9/4/7/2</t>
  </si>
  <si>
    <t>6/4/7/0</t>
  </si>
  <si>
    <t>6/4/5/0</t>
  </si>
  <si>
    <t>9/3/6/1</t>
  </si>
  <si>
    <t>11/4/8/1</t>
  </si>
  <si>
    <t>10/2/7/0</t>
  </si>
  <si>
    <t>8/4/5/1</t>
  </si>
  <si>
    <t>7/2/5/1</t>
  </si>
  <si>
    <t>10/2/6/1</t>
  </si>
  <si>
    <t>10/3/6/2</t>
  </si>
  <si>
    <t>9/9/4/1</t>
  </si>
  <si>
    <t>9/3/7/3</t>
  </si>
  <si>
    <t>10/2/7/3</t>
  </si>
  <si>
    <t>29/4/4/2</t>
  </si>
  <si>
    <t>28/3/4/2</t>
  </si>
  <si>
    <t>30/3/4/2</t>
  </si>
  <si>
    <t>23/1/5/2</t>
  </si>
  <si>
    <t>24/1/5/2</t>
  </si>
  <si>
    <t>18/1/8/2</t>
  </si>
  <si>
    <t>4/1/7/1</t>
  </si>
  <si>
    <t>6/1/11/0</t>
  </si>
  <si>
    <t>9/2/13/0</t>
  </si>
  <si>
    <t>9/2/13/1</t>
  </si>
  <si>
    <t>12/4/10/1</t>
  </si>
  <si>
    <t>17/4/11/0</t>
  </si>
  <si>
    <t>17/1/8/1</t>
  </si>
  <si>
    <t>18/2/8/1</t>
  </si>
  <si>
    <t>17/3/8/1</t>
  </si>
  <si>
    <t>15/4/7/3</t>
  </si>
  <si>
    <t>16/3/5/3</t>
  </si>
  <si>
    <t>11/9/8/2</t>
  </si>
  <si>
    <t>10/0/7/1</t>
  </si>
  <si>
    <t>7/0/8/1</t>
  </si>
  <si>
    <t>7/0/8.1</t>
  </si>
  <si>
    <t>7/8/7/1</t>
  </si>
  <si>
    <t>11/7/7/1</t>
  </si>
  <si>
    <t>5/4/8/1</t>
  </si>
  <si>
    <t>4/5/10/2</t>
  </si>
  <si>
    <t>4/0/6/2</t>
  </si>
  <si>
    <t>1/0/7/4</t>
  </si>
  <si>
    <t>4/1/4/2</t>
  </si>
  <si>
    <t>1/1/4/3</t>
  </si>
  <si>
    <t>1/1/4/5</t>
  </si>
  <si>
    <t>3/1/2/4</t>
  </si>
  <si>
    <t>0/0/7/0</t>
  </si>
  <si>
    <t>2/0/4/0</t>
  </si>
  <si>
    <t>0/0/4/0</t>
  </si>
  <si>
    <t>5/0/4/0</t>
  </si>
  <si>
    <t>4/0/4/1</t>
  </si>
  <si>
    <t>1/0/3/1</t>
  </si>
  <si>
    <t>3/0/3/0</t>
  </si>
  <si>
    <t>4/0/3/1</t>
  </si>
  <si>
    <t>5/0/1/3</t>
  </si>
  <si>
    <t>2/0/2/2</t>
  </si>
  <si>
    <t>Mar  25'</t>
  </si>
  <si>
    <t>94/8/15/7</t>
  </si>
  <si>
    <t>97/9/16/7</t>
  </si>
  <si>
    <t>105/10/16/8</t>
  </si>
  <si>
    <t>97/19/16/6</t>
  </si>
  <si>
    <t>89/14/16/11</t>
  </si>
  <si>
    <t>87/13/15/11</t>
  </si>
  <si>
    <t>84/12/14/11</t>
  </si>
  <si>
    <t>87/13/14/11</t>
  </si>
  <si>
    <t>80/10/26/9</t>
  </si>
  <si>
    <t>78/11/23/8</t>
  </si>
  <si>
    <t>81/11/21/8</t>
  </si>
  <si>
    <t>Snow Day</t>
  </si>
  <si>
    <t>81/9/22/7</t>
  </si>
  <si>
    <t>82/9/21/7</t>
  </si>
  <si>
    <t>91/9/22/6</t>
  </si>
  <si>
    <t>87/7/21/6</t>
  </si>
  <si>
    <t>90/8/21/10</t>
  </si>
  <si>
    <t>89/8/19/9</t>
  </si>
  <si>
    <t>88/10/18/9</t>
  </si>
  <si>
    <t>94/10/18/10</t>
  </si>
  <si>
    <t>103/12/20/8</t>
  </si>
  <si>
    <t>101/11/18/9</t>
  </si>
  <si>
    <t>102/12/18/9</t>
  </si>
  <si>
    <t>102/10/16/7</t>
  </si>
  <si>
    <t>11/3/6/2</t>
  </si>
  <si>
    <t>11/3/10/2</t>
  </si>
  <si>
    <t>13/2/8/2</t>
  </si>
  <si>
    <t>12/3/7/1</t>
  </si>
  <si>
    <t>11/3/6/1</t>
  </si>
  <si>
    <t>12/2/4/3</t>
  </si>
  <si>
    <t>12/1/5/3</t>
  </si>
  <si>
    <t>13/1/6/2</t>
  </si>
  <si>
    <t>12/2/8/1</t>
  </si>
  <si>
    <t>14/2/8/1</t>
  </si>
  <si>
    <t>18/2/11/1</t>
  </si>
  <si>
    <t>17/1/13/1</t>
  </si>
  <si>
    <t>19/1/9/1</t>
  </si>
  <si>
    <t>14/3/8/1</t>
  </si>
  <si>
    <t>10/2/7/1</t>
  </si>
  <si>
    <t>10/3/9/4</t>
  </si>
  <si>
    <t>11/3/3/13</t>
  </si>
  <si>
    <t>11/2/10/1</t>
  </si>
  <si>
    <t>12/3/6/1</t>
  </si>
  <si>
    <t>11/4/3/1</t>
  </si>
  <si>
    <t>17/2/7/1</t>
  </si>
  <si>
    <t>22/2/7/1</t>
  </si>
  <si>
    <t>20/1/6/1</t>
  </si>
  <si>
    <t>15/6/2/6</t>
  </si>
  <si>
    <t>16/2/6/1</t>
  </si>
  <si>
    <t>23/2/6/1</t>
  </si>
  <si>
    <t>23/2/9/1</t>
  </si>
  <si>
    <t>24/3/9/1</t>
  </si>
  <si>
    <t>24/2/9/1</t>
  </si>
  <si>
    <t>28/3/9/1</t>
  </si>
  <si>
    <t>32/2/7/1</t>
  </si>
  <si>
    <t>32/1/7/1</t>
  </si>
  <si>
    <t>30/1/7/1</t>
  </si>
  <si>
    <t>32/2/8/1</t>
  </si>
  <si>
    <t>23/1/7/1</t>
  </si>
  <si>
    <t>26/2/6/1</t>
  </si>
  <si>
    <t>19/3/8/1</t>
  </si>
  <si>
    <t>19/6/8/1</t>
  </si>
  <si>
    <t>21/4/5/1</t>
  </si>
  <si>
    <t>3/2/3/0</t>
  </si>
  <si>
    <t>2/1/3/0</t>
  </si>
  <si>
    <t>3/1/1/2</t>
  </si>
  <si>
    <t>5/1/3/0</t>
  </si>
  <si>
    <t>4/2/3/0</t>
  </si>
  <si>
    <t>3/1/3/0</t>
  </si>
  <si>
    <t>6/2/2/0</t>
  </si>
  <si>
    <t>3/2/3/1</t>
  </si>
  <si>
    <t>3/2/2/1</t>
  </si>
  <si>
    <t>2/1/2/1</t>
  </si>
  <si>
    <t>3/4/2/1</t>
  </si>
  <si>
    <t>1/1/3/1</t>
  </si>
  <si>
    <t>2/1/3/1</t>
  </si>
  <si>
    <t>1/1/2/2</t>
  </si>
  <si>
    <t>3/1/4/0</t>
  </si>
  <si>
    <t>0/0/4/1</t>
  </si>
  <si>
    <t>4/0/3/2</t>
  </si>
  <si>
    <t>5/0/3/2</t>
  </si>
  <si>
    <t>Feb  25'</t>
  </si>
  <si>
    <t>92/3/14/7</t>
  </si>
  <si>
    <t>89/2/17/7</t>
  </si>
  <si>
    <t>87/4/17/7</t>
  </si>
  <si>
    <t>89/5/17/7</t>
  </si>
  <si>
    <t>93/5/18/7</t>
  </si>
  <si>
    <t>94/6/18/7</t>
  </si>
  <si>
    <t>82/4/20/7</t>
  </si>
  <si>
    <t>96/4/19/7</t>
  </si>
  <si>
    <t>92/3/18/7</t>
  </si>
  <si>
    <t>91/3/18/7</t>
  </si>
  <si>
    <t>96/6/20/6</t>
  </si>
  <si>
    <t>102/8/19/7</t>
  </si>
  <si>
    <t>101/10/19/6</t>
  </si>
  <si>
    <t>88/11/18/6</t>
  </si>
  <si>
    <t>90/13/15/6</t>
  </si>
  <si>
    <t>97/12/15/6</t>
  </si>
  <si>
    <t>95/14/16/6</t>
  </si>
  <si>
    <t>96/14/17/6</t>
  </si>
  <si>
    <t>97/14/16/6</t>
  </si>
  <si>
    <t>86/18/16/6</t>
  </si>
  <si>
    <t>90/19/15/6</t>
  </si>
  <si>
    <t>89/18/15/6</t>
  </si>
  <si>
    <t>92/18/15/6</t>
  </si>
  <si>
    <t>94/15/15/6</t>
  </si>
  <si>
    <t>95/15/15/6</t>
  </si>
  <si>
    <t>98/15/15/6</t>
  </si>
  <si>
    <t>13/1/10/3</t>
  </si>
  <si>
    <t>12/2/12/3</t>
  </si>
  <si>
    <t>13/1/9/4</t>
  </si>
  <si>
    <t>13/1/8/4</t>
  </si>
  <si>
    <t>15/1/8/5</t>
  </si>
  <si>
    <t>12/1/15/1</t>
  </si>
  <si>
    <t>8/2/15/1</t>
  </si>
  <si>
    <t>8/1/14/2</t>
  </si>
  <si>
    <t>12/2/10/2</t>
  </si>
  <si>
    <t>9/2/10/3</t>
  </si>
  <si>
    <t>9/2/11/3</t>
  </si>
  <si>
    <t>13/2/9/2</t>
  </si>
  <si>
    <t>12/3/7/2</t>
  </si>
  <si>
    <t>13/3/5/2</t>
  </si>
  <si>
    <t>13/2/5/2</t>
  </si>
  <si>
    <t>14/2/5/2</t>
  </si>
  <si>
    <t>20/2/6/2</t>
  </si>
  <si>
    <t>15/5/6/3</t>
  </si>
  <si>
    <t>15/5/8/4</t>
  </si>
  <si>
    <t>13/1/10/1</t>
  </si>
  <si>
    <t>14/0/10/1</t>
  </si>
  <si>
    <t>15/0/6/1</t>
  </si>
  <si>
    <t>10/2/9/0</t>
  </si>
  <si>
    <t>11/4/6/1</t>
  </si>
  <si>
    <t>13/3/5/1</t>
  </si>
  <si>
    <t>25/3/5/7</t>
  </si>
  <si>
    <t>19/5/11/4</t>
  </si>
  <si>
    <t>18/5/12/4</t>
  </si>
  <si>
    <t>22/4/12/4</t>
  </si>
  <si>
    <t>23/3/10/4</t>
  </si>
  <si>
    <t>21/2/10/4</t>
  </si>
  <si>
    <t>22/2/10/4</t>
  </si>
  <si>
    <t>22/1/10/3</t>
  </si>
  <si>
    <t>13/2/12/1</t>
  </si>
  <si>
    <t>17/4/11/1</t>
  </si>
  <si>
    <t>17/3/10/1</t>
  </si>
  <si>
    <t>17/2/9/1</t>
  </si>
  <si>
    <t>16/0/11/1</t>
  </si>
  <si>
    <t>10/0/11/1</t>
  </si>
  <si>
    <t>10/2/11/1</t>
  </si>
  <si>
    <t>14/3/11/1</t>
  </si>
  <si>
    <t>10/3/11/1</t>
  </si>
  <si>
    <t>15/2/11/1</t>
  </si>
  <si>
    <t>17/3/11/1</t>
  </si>
  <si>
    <t>20/3/10/1</t>
  </si>
  <si>
    <t>22/2/10/1</t>
  </si>
  <si>
    <t>19/1/7/1</t>
  </si>
  <si>
    <t>14/2/7/1</t>
  </si>
  <si>
    <t>16/2/7/1</t>
  </si>
  <si>
    <t>13/3/7/1</t>
  </si>
  <si>
    <t>2/3/4/1</t>
  </si>
  <si>
    <t>3/3/5/0</t>
  </si>
  <si>
    <t>2/4/4/2</t>
  </si>
  <si>
    <t>2/2/6/1</t>
  </si>
  <si>
    <t>3/2/6/1</t>
  </si>
  <si>
    <t>3/2/6/0</t>
  </si>
  <si>
    <t>6/2/6/0</t>
  </si>
  <si>
    <t>2/2/4/2</t>
  </si>
  <si>
    <t>4/1/3/3</t>
  </si>
  <si>
    <t>3/1/4/2</t>
  </si>
  <si>
    <t>4/1/6/0</t>
  </si>
  <si>
    <t>2/1/5/1</t>
  </si>
  <si>
    <t>3/1/4/1</t>
  </si>
  <si>
    <t>4/1/4/1</t>
  </si>
  <si>
    <t>1/1/5/0</t>
  </si>
  <si>
    <t>1/1/5/1</t>
  </si>
  <si>
    <t>1/2/4/0</t>
  </si>
  <si>
    <t>3/2/4/0</t>
  </si>
  <si>
    <t>2/2/4/0</t>
  </si>
  <si>
    <t>Jan  25'</t>
  </si>
  <si>
    <t>4 &amp; 5 Star</t>
  </si>
  <si>
    <t>Google Reviews</t>
  </si>
  <si>
    <t>65/20/7/6</t>
  </si>
  <si>
    <t>70/16/8/6</t>
  </si>
  <si>
    <t>64/15/8/8</t>
  </si>
  <si>
    <t>67/15/8/8</t>
  </si>
  <si>
    <t>65/16/7/7</t>
  </si>
  <si>
    <t>71/17/7/7</t>
  </si>
  <si>
    <t>72/18/7/7</t>
  </si>
  <si>
    <t>80/17/7/7</t>
  </si>
  <si>
    <t>80/14/10/7</t>
  </si>
  <si>
    <t>76/14/11/7</t>
  </si>
  <si>
    <t>83/16/9/6</t>
  </si>
  <si>
    <t>94/16/9/7</t>
  </si>
  <si>
    <t>89/15/10/8</t>
  </si>
  <si>
    <t>77/7/12/8</t>
  </si>
  <si>
    <t>80/3/11/8</t>
  </si>
  <si>
    <t>86/3/12/8</t>
  </si>
  <si>
    <t>79/6/12/8</t>
  </si>
  <si>
    <t>82/4/11/8</t>
  </si>
  <si>
    <t>82/5/12/8</t>
  </si>
  <si>
    <t>80/6/12/8</t>
  </si>
  <si>
    <t>83/6/13/9</t>
  </si>
  <si>
    <t>85/6/15/8</t>
  </si>
  <si>
    <t>85/7/15/8</t>
  </si>
  <si>
    <t>93/7/15/7</t>
  </si>
  <si>
    <t>94/3/14/7</t>
  </si>
  <si>
    <t>12/1/6/1</t>
  </si>
  <si>
    <t>12/3/6/3</t>
  </si>
  <si>
    <t>10/2/3/5</t>
  </si>
  <si>
    <t>8/3/7/3</t>
  </si>
  <si>
    <t>9/3/7/4</t>
  </si>
  <si>
    <t>9/2/6/4</t>
  </si>
  <si>
    <t>10/2/5/4</t>
  </si>
  <si>
    <t>11/2/6/4</t>
  </si>
  <si>
    <t>11/3/8/4</t>
  </si>
  <si>
    <t>14/4/4/5</t>
  </si>
  <si>
    <t>11/3/4/7</t>
  </si>
  <si>
    <t>10/2/5/6</t>
  </si>
  <si>
    <t>14/2/5/6</t>
  </si>
  <si>
    <t>16/3/7/4</t>
  </si>
  <si>
    <t>9/3/5/5</t>
  </si>
  <si>
    <t>7/2/6/5</t>
  </si>
  <si>
    <t>9/1/6/5</t>
  </si>
  <si>
    <t>9/1/8/8</t>
  </si>
  <si>
    <t>8/1/10/5</t>
  </si>
  <si>
    <t>13/2/5/9</t>
  </si>
  <si>
    <t>10/1/11/2</t>
  </si>
  <si>
    <t>13/1/8/2</t>
  </si>
  <si>
    <t>13/1/9/2</t>
  </si>
  <si>
    <t>32/3/4/5</t>
  </si>
  <si>
    <t>16/4/12/2</t>
  </si>
  <si>
    <t>17/4/13/1</t>
  </si>
  <si>
    <t>17/6/13/1</t>
  </si>
  <si>
    <t>21/3/7/3</t>
  </si>
  <si>
    <t>20/5/8/3</t>
  </si>
  <si>
    <t>24/5/8/3</t>
  </si>
  <si>
    <t>23/4/10/4</t>
  </si>
  <si>
    <t>24/3/8/4</t>
  </si>
  <si>
    <t>28/8/8/4</t>
  </si>
  <si>
    <t>16/3/9/4</t>
  </si>
  <si>
    <t>16/2/8/5</t>
  </si>
  <si>
    <t>16/5/8/7</t>
  </si>
  <si>
    <t>18/2/6/7</t>
  </si>
  <si>
    <t>14/4/2/9</t>
  </si>
  <si>
    <t>14/4/2/10</t>
  </si>
  <si>
    <t>21/5/3/7</t>
  </si>
  <si>
    <t>20/4/3/7</t>
  </si>
  <si>
    <t>24/4/2/7</t>
  </si>
  <si>
    <t>27/6/2/7</t>
  </si>
  <si>
    <t>25/5/2/7</t>
  </si>
  <si>
    <t>27/5/2/7</t>
  </si>
  <si>
    <t>20/7/4/7</t>
  </si>
  <si>
    <t>22/6/5/7</t>
  </si>
  <si>
    <t>24/3/5/7</t>
  </si>
  <si>
    <t>3/3/3/1</t>
  </si>
  <si>
    <t>2/3/4/0</t>
  </si>
  <si>
    <t>4/3/3/1</t>
  </si>
  <si>
    <t>3/1/2/0</t>
  </si>
  <si>
    <t>4/1/2/0</t>
  </si>
  <si>
    <t>4/1/2/1</t>
  </si>
  <si>
    <t>5/1/2/1</t>
  </si>
  <si>
    <t>3/1/5/0</t>
  </si>
  <si>
    <t>3/1/5/4</t>
  </si>
  <si>
    <t>7/2/3/0</t>
  </si>
  <si>
    <t>3/2/2/0</t>
  </si>
  <si>
    <t>2/3/3/0</t>
  </si>
  <si>
    <t>4/3/3/0</t>
  </si>
  <si>
    <t>11/4/3/0</t>
  </si>
  <si>
    <t>5/4/3/1</t>
  </si>
  <si>
    <t>AT&amp;T In-Person</t>
  </si>
  <si>
    <t xml:space="preserve">Performance </t>
  </si>
  <si>
    <t>Dec  24'</t>
  </si>
  <si>
    <t>2024 vs 2023</t>
  </si>
  <si>
    <t>MTD</t>
  </si>
  <si>
    <t>OOW Lead Conversion</t>
  </si>
  <si>
    <t>80/17/3/3</t>
  </si>
  <si>
    <t>79/19/3/4</t>
  </si>
  <si>
    <t>83/18/3/4</t>
  </si>
  <si>
    <t>85/18/3/4</t>
  </si>
  <si>
    <t>MTD Lead Con.</t>
  </si>
  <si>
    <t>57/19/7/4</t>
  </si>
  <si>
    <t>4 &amp; 5 Star Google Reviews</t>
  </si>
  <si>
    <t>65/18/7/3</t>
  </si>
  <si>
    <t>63/18/7/3</t>
  </si>
  <si>
    <t>67/20/7/4</t>
  </si>
  <si>
    <t>69/19/7/4</t>
  </si>
  <si>
    <t>68/21/6/4</t>
  </si>
  <si>
    <t>66/20/6/4</t>
  </si>
  <si>
    <t>65/20/5/4</t>
  </si>
  <si>
    <t>67/21/5/4</t>
  </si>
  <si>
    <t>65/19/6/4</t>
  </si>
  <si>
    <t>67/9/6/4</t>
  </si>
  <si>
    <t>61/10/6/5</t>
  </si>
  <si>
    <t>41/18/6/9</t>
  </si>
  <si>
    <t>40/19/6/8</t>
  </si>
  <si>
    <t>41/20/5/7</t>
  </si>
  <si>
    <t>46/19/6/6</t>
  </si>
  <si>
    <t>46/18/7/6</t>
  </si>
  <si>
    <t>53/18/9/5</t>
  </si>
  <si>
    <t>60/18/7/5</t>
  </si>
  <si>
    <t>59/17/7/6</t>
  </si>
  <si>
    <t>66/22/7/6</t>
  </si>
  <si>
    <t>9/2/5/0</t>
  </si>
  <si>
    <t>10/1/4/0</t>
  </si>
  <si>
    <t>10/2/4/0</t>
  </si>
  <si>
    <t>11/1/4/2</t>
  </si>
  <si>
    <t>12/1/6/0</t>
  </si>
  <si>
    <t>11/2/5/0</t>
  </si>
  <si>
    <t>12/4/4/0</t>
  </si>
  <si>
    <t>11/2/4/0</t>
  </si>
  <si>
    <t>11/2/3/1</t>
  </si>
  <si>
    <t>11/2/3/2</t>
  </si>
  <si>
    <t>7/3/8/0</t>
  </si>
  <si>
    <t>5/2/10/1</t>
  </si>
  <si>
    <t>9/0/8/2</t>
  </si>
  <si>
    <t>9/0/6/1</t>
  </si>
  <si>
    <t>10/1/4/1</t>
  </si>
  <si>
    <t>11/1/6/5</t>
  </si>
  <si>
    <t>8/0/11/1</t>
  </si>
  <si>
    <t>11/0/8/1</t>
  </si>
  <si>
    <t>10/1/8/3</t>
  </si>
  <si>
    <t>11/0/8/3</t>
  </si>
  <si>
    <t>9/1/8/3</t>
  </si>
  <si>
    <t>11/1/9/1</t>
  </si>
  <si>
    <t>17/0/7/7</t>
  </si>
  <si>
    <t>17/0/8/7</t>
  </si>
  <si>
    <t>18/1/7/8</t>
  </si>
  <si>
    <t>20/2/3/9</t>
  </si>
  <si>
    <t>9/4/4/4</t>
  </si>
  <si>
    <t>19/5/4/4</t>
  </si>
  <si>
    <t>19/4/4/4</t>
  </si>
  <si>
    <t>24/6/3/4</t>
  </si>
  <si>
    <t>27/7/3/4</t>
  </si>
  <si>
    <t>30/6/3/4</t>
  </si>
  <si>
    <t>33/4/3/4</t>
  </si>
  <si>
    <t>31/4/3/4</t>
  </si>
  <si>
    <t>23/7/6/4</t>
  </si>
  <si>
    <t>25/5/8/4</t>
  </si>
  <si>
    <t>32/4/7/4</t>
  </si>
  <si>
    <t>25/5/13/3</t>
  </si>
  <si>
    <t>22/5/9/3</t>
  </si>
  <si>
    <t>26/4/10/3</t>
  </si>
  <si>
    <t>28/4/10/3</t>
  </si>
  <si>
    <t>29/1/8/3</t>
  </si>
  <si>
    <t>30/1/8/3</t>
  </si>
  <si>
    <t>21/2/7/3</t>
  </si>
  <si>
    <t>26/4/6/2</t>
  </si>
  <si>
    <t>30/5/5/5</t>
  </si>
  <si>
    <t>1/1/2/0</t>
  </si>
  <si>
    <t>2/1/2/0</t>
  </si>
  <si>
    <t>1/1/1/1</t>
  </si>
  <si>
    <t>3/1/1/1</t>
  </si>
  <si>
    <t>4/1/1/2</t>
  </si>
  <si>
    <t>5/1/2/0</t>
  </si>
  <si>
    <t>5/2/2/0</t>
  </si>
  <si>
    <t>4/3/2/0</t>
  </si>
  <si>
    <t>4/1/3/0</t>
  </si>
  <si>
    <t>4/1/5/1</t>
  </si>
  <si>
    <t>3/1/5/1</t>
  </si>
  <si>
    <t>2/1/6/0</t>
  </si>
  <si>
    <t>Lead Conversion</t>
  </si>
  <si>
    <t>89/16/7/5</t>
  </si>
  <si>
    <t>89/14/7/5</t>
  </si>
  <si>
    <t>90/15/6/5</t>
  </si>
  <si>
    <t>74/14/6/5</t>
  </si>
  <si>
    <t>75/15/6/7</t>
  </si>
  <si>
    <t>81/15/6/7</t>
  </si>
  <si>
    <t>86/16/6/7</t>
  </si>
  <si>
    <t>81/16/8/5</t>
  </si>
  <si>
    <t>82/17/6/5</t>
  </si>
  <si>
    <t>86/14/5/5</t>
  </si>
  <si>
    <t>88/16/5/5</t>
  </si>
  <si>
    <t>87/17/5/6</t>
  </si>
  <si>
    <t>89/17/5/6</t>
  </si>
  <si>
    <t>79/14/4/3</t>
  </si>
  <si>
    <t>81/12/3/3</t>
  </si>
  <si>
    <t>80/11/3/3</t>
  </si>
  <si>
    <t>80/11/3/4</t>
  </si>
  <si>
    <t>79/12/3/4</t>
  </si>
  <si>
    <t>81/13/3/4</t>
  </si>
  <si>
    <t>83/13/3/4</t>
  </si>
  <si>
    <t>85/15/3/3</t>
  </si>
  <si>
    <t>80/14/3/3</t>
  </si>
  <si>
    <t>82/18/3/3</t>
  </si>
  <si>
    <t>89/18/3/3</t>
  </si>
  <si>
    <t>87/19/3/3</t>
  </si>
  <si>
    <t>86/19/3/3</t>
  </si>
  <si>
    <t>86/17/3/3</t>
  </si>
  <si>
    <t>10/1/12/4</t>
  </si>
  <si>
    <t>9/1/12/4</t>
  </si>
  <si>
    <t>6/2/10/3</t>
  </si>
  <si>
    <t>6/2/8/4</t>
  </si>
  <si>
    <t>5/2/7/4</t>
  </si>
  <si>
    <t>8/2/8/5</t>
  </si>
  <si>
    <t>8/2/8/7</t>
  </si>
  <si>
    <t>6/3/8/2</t>
  </si>
  <si>
    <t>7/2/8/2</t>
  </si>
  <si>
    <t>6/2/9/1</t>
  </si>
  <si>
    <t>6/3/8/1</t>
  </si>
  <si>
    <t>5/2/8/3</t>
  </si>
  <si>
    <t>5/2/10/3</t>
  </si>
  <si>
    <t>7/1/8/0</t>
  </si>
  <si>
    <t>4/2/8/1</t>
  </si>
  <si>
    <t>7/1/9/0</t>
  </si>
  <si>
    <t>8/1/8/0</t>
  </si>
  <si>
    <t>9/1/9/0</t>
  </si>
  <si>
    <t>10/1/7/0</t>
  </si>
  <si>
    <t>8/0/7/0</t>
  </si>
  <si>
    <t>8/0/6/0</t>
  </si>
  <si>
    <t>8/0/3/3</t>
  </si>
  <si>
    <t>9/1/5/1</t>
  </si>
  <si>
    <t>10/1/4/3</t>
  </si>
  <si>
    <t>9/0/5/3</t>
  </si>
  <si>
    <t>11/1/2/2</t>
  </si>
  <si>
    <t>10/3/5/4</t>
  </si>
  <si>
    <t>13/4/1/4</t>
  </si>
  <si>
    <t>12/4/1/4</t>
  </si>
  <si>
    <t>14/4/2/4</t>
  </si>
  <si>
    <t>15/2/2/4</t>
  </si>
  <si>
    <t>15/1/2/4</t>
  </si>
  <si>
    <t>17/2/2/4</t>
  </si>
  <si>
    <t>19/1/1/4</t>
  </si>
  <si>
    <t>20/1/1/4</t>
  </si>
  <si>
    <t>11/0/3/6</t>
  </si>
  <si>
    <t>12/0/5/6</t>
  </si>
  <si>
    <t>16/0/5/6</t>
  </si>
  <si>
    <t>23/0/6/4</t>
  </si>
  <si>
    <t>23/1/7/4</t>
  </si>
  <si>
    <t>26/0/5/4</t>
  </si>
  <si>
    <t>17/1/5/7</t>
  </si>
  <si>
    <t>15/1/4/7</t>
  </si>
  <si>
    <t>16/0/4/7</t>
  </si>
  <si>
    <t>17/0/6/2</t>
  </si>
  <si>
    <t>19/0/7/2</t>
  </si>
  <si>
    <t>22/3/7/2</t>
  </si>
  <si>
    <t>21/3/9/3</t>
  </si>
  <si>
    <t>18/0/7/3</t>
  </si>
  <si>
    <t>23/1/8/3</t>
  </si>
  <si>
    <t>26/1/8/3</t>
  </si>
  <si>
    <t>26/0/8/3</t>
  </si>
  <si>
    <t>24/0/8/3</t>
  </si>
  <si>
    <t>3/5/7/0</t>
  </si>
  <si>
    <t>5/4/5/0</t>
  </si>
  <si>
    <t>2/4/5/0</t>
  </si>
  <si>
    <t>7/4/2/0</t>
  </si>
  <si>
    <t>3/4/3/0</t>
  </si>
  <si>
    <t>2/4/2/0</t>
  </si>
  <si>
    <t>3/4/2/0</t>
  </si>
  <si>
    <t>2/4/3/0</t>
  </si>
  <si>
    <t>3/4/6/0</t>
  </si>
  <si>
    <t>5/4/4/0</t>
  </si>
  <si>
    <t>3/4/5/1</t>
  </si>
  <si>
    <t>4/4/3/2</t>
  </si>
  <si>
    <t>4/4/3/0</t>
  </si>
  <si>
    <t>4/4/3/3</t>
  </si>
  <si>
    <t>5/4/3/3</t>
  </si>
  <si>
    <t>2/4/6/0</t>
  </si>
  <si>
    <t>1/1/3/0</t>
  </si>
  <si>
    <t>74/10/9/4</t>
  </si>
  <si>
    <t>75/13/9/4</t>
  </si>
  <si>
    <t>78/17/9/4</t>
  </si>
  <si>
    <t>73/12/9/4</t>
  </si>
  <si>
    <t>75/8/9/4</t>
  </si>
  <si>
    <t>78/8/8/5</t>
  </si>
  <si>
    <t>76/9/7/6</t>
  </si>
  <si>
    <t>80/7/7/5</t>
  </si>
  <si>
    <t>79/8/6/4</t>
  </si>
  <si>
    <t>79/16/6/4</t>
  </si>
  <si>
    <t>87/18/6/4</t>
  </si>
  <si>
    <t>91/18/6/4</t>
  </si>
  <si>
    <t>88/17/6/4</t>
  </si>
  <si>
    <t>92/19/6/4</t>
  </si>
  <si>
    <t>86/21/6/4</t>
  </si>
  <si>
    <t>85/26/6/4</t>
  </si>
  <si>
    <t>96/22/6/4</t>
  </si>
  <si>
    <t>89/21/7/4</t>
  </si>
  <si>
    <t>88/24/7/4</t>
  </si>
  <si>
    <t>90/25/7/4</t>
  </si>
  <si>
    <t>92/23/7/4</t>
  </si>
  <si>
    <t>90/22/7/4</t>
  </si>
  <si>
    <t>9/1/9/2</t>
  </si>
  <si>
    <t>12/3/8/2</t>
  </si>
  <si>
    <t>13/2/10/1</t>
  </si>
  <si>
    <t>11/1/8/3</t>
  </si>
  <si>
    <t>9/0/11/3</t>
  </si>
  <si>
    <t>14/0/14/6</t>
  </si>
  <si>
    <t xml:space="preserve">    </t>
  </si>
  <si>
    <t>12/0/7/6</t>
  </si>
  <si>
    <t>15/0/7/6</t>
  </si>
  <si>
    <t>14/1/7/7</t>
  </si>
  <si>
    <t>12/1/10/3</t>
  </si>
  <si>
    <t>14/0/8/3</t>
  </si>
  <si>
    <t>10/0/10/3</t>
  </si>
  <si>
    <t>11/1/12/3</t>
  </si>
  <si>
    <t>14/2/12/8</t>
  </si>
  <si>
    <t>14/2/16/6</t>
  </si>
  <si>
    <t>19/1/11/6</t>
  </si>
  <si>
    <t>18/3/14/4</t>
  </si>
  <si>
    <t>9/1/12/5</t>
  </si>
  <si>
    <t>9/1/10/6</t>
  </si>
  <si>
    <t>20/1/1/2</t>
  </si>
  <si>
    <t>25/1/1/2</t>
  </si>
  <si>
    <t>29/1/0/2</t>
  </si>
  <si>
    <t>28/1/0/2</t>
  </si>
  <si>
    <t>12/0/4/0</t>
  </si>
  <si>
    <t>10/2/5/0</t>
  </si>
  <si>
    <t>11/2/6/0</t>
  </si>
  <si>
    <t>16/1/6/0</t>
  </si>
  <si>
    <t>10/3/4/1</t>
  </si>
  <si>
    <t>7/0/5/0</t>
  </si>
  <si>
    <t>10/0/5/0</t>
  </si>
  <si>
    <t>2/0/5/0</t>
  </si>
  <si>
    <t>9/0/5/1</t>
  </si>
  <si>
    <t>11/1/6/0</t>
  </si>
  <si>
    <t>11/0/8/0</t>
  </si>
  <si>
    <t>15/3/5/1</t>
  </si>
  <si>
    <t>13/1/5/1</t>
  </si>
  <si>
    <t>5/5/3/0</t>
  </si>
  <si>
    <t>4/5/2/0</t>
  </si>
  <si>
    <t>7/5/2/0</t>
  </si>
  <si>
    <t>3/3/3/0</t>
  </si>
  <si>
    <t>3/6/2/0</t>
  </si>
  <si>
    <t>4/4/4/0</t>
  </si>
  <si>
    <t>4/4/2/1</t>
  </si>
  <si>
    <t>6/4/3/1</t>
  </si>
  <si>
    <t>8/5/3/2</t>
  </si>
  <si>
    <t>9/4/3/3</t>
  </si>
  <si>
    <t>100/35/6/5</t>
  </si>
  <si>
    <t>103/36/6/5</t>
  </si>
  <si>
    <t>106/36/7/5</t>
  </si>
  <si>
    <t>110/36/6/5</t>
  </si>
  <si>
    <t>111/37/6/5</t>
  </si>
  <si>
    <t>98/36/6/5</t>
  </si>
  <si>
    <t>96/36/7/5</t>
  </si>
  <si>
    <t>100/36/6/5</t>
  </si>
  <si>
    <t>99/38/6/5</t>
  </si>
  <si>
    <t>99/37/7/5</t>
  </si>
  <si>
    <t>102/39/8/4</t>
  </si>
  <si>
    <t>111/34/7/4</t>
  </si>
  <si>
    <t>106/36/7/4</t>
  </si>
  <si>
    <t>106/31/7/4</t>
  </si>
  <si>
    <t>113/31/8/4</t>
  </si>
  <si>
    <t>104/30/8/4</t>
  </si>
  <si>
    <t>110/30/8/4</t>
  </si>
  <si>
    <t>105/32/9/4</t>
  </si>
  <si>
    <t>104/31/7/4</t>
  </si>
  <si>
    <t>105/35/8/4</t>
  </si>
  <si>
    <t>95/34/8/5</t>
  </si>
  <si>
    <t>60/11/7/5</t>
  </si>
  <si>
    <t>64/11/8/5</t>
  </si>
  <si>
    <t>68/12/9/5</t>
  </si>
  <si>
    <t>72/9/10/4</t>
  </si>
  <si>
    <t>72/8/11/4</t>
  </si>
  <si>
    <t>75/11/10/4</t>
  </si>
  <si>
    <t>7/1/6/2</t>
  </si>
  <si>
    <t>10/1/8/1</t>
  </si>
  <si>
    <t>8/1/9/2</t>
  </si>
  <si>
    <t>9/1/8/2</t>
  </si>
  <si>
    <t>13/0/11/1</t>
  </si>
  <si>
    <t>14/1/10/1</t>
  </si>
  <si>
    <t>9/0/9/1</t>
  </si>
  <si>
    <t>16/1/10/2</t>
  </si>
  <si>
    <t>16/1/8/4</t>
  </si>
  <si>
    <t>9/1/9/5</t>
  </si>
  <si>
    <t>10/2/11/2</t>
  </si>
  <si>
    <t>12/1/9/2</t>
  </si>
  <si>
    <t>12/2/7/3</t>
  </si>
  <si>
    <t>10/2/8/2</t>
  </si>
  <si>
    <t>12/1/7/4</t>
  </si>
  <si>
    <t>12/1/7/1</t>
  </si>
  <si>
    <t>14/3/5/1</t>
  </si>
  <si>
    <t>12/2/6/1</t>
  </si>
  <si>
    <t>12/2/6/2</t>
  </si>
  <si>
    <t>14/3/9/2</t>
  </si>
  <si>
    <t>17/1/4/2</t>
  </si>
  <si>
    <t>15/1/6/4</t>
  </si>
  <si>
    <t>10/2/8/4</t>
  </si>
  <si>
    <t>10/9/1/2</t>
  </si>
  <si>
    <t>18/2/5/2</t>
  </si>
  <si>
    <t>10/2/4/3</t>
  </si>
  <si>
    <t>12/0/4/2</t>
  </si>
  <si>
    <t>13/1/5/2</t>
  </si>
  <si>
    <t>16/1/5/2</t>
  </si>
  <si>
    <t>7/2/4/0</t>
  </si>
  <si>
    <t>9/2/3/0</t>
  </si>
  <si>
    <t>5/0/4/2</t>
  </si>
  <si>
    <t>14/0/4/3</t>
  </si>
  <si>
    <t>10/0/3/2</t>
  </si>
  <si>
    <t>17/0/4/1</t>
  </si>
  <si>
    <t>11/0/5/1</t>
  </si>
  <si>
    <t>18/0/4/1</t>
  </si>
  <si>
    <t>14/0/5/0</t>
  </si>
  <si>
    <t>22/2/2/2</t>
  </si>
  <si>
    <t>15/0/3/0</t>
  </si>
  <si>
    <t>13/0/2/0</t>
  </si>
  <si>
    <t>16/0/3/1</t>
  </si>
  <si>
    <t>20/0/3/2</t>
  </si>
  <si>
    <t>22/1/3/2</t>
  </si>
  <si>
    <t>4/2/2/0</t>
  </si>
  <si>
    <t>5/3/3/0</t>
  </si>
  <si>
    <t>5/4/3/0</t>
  </si>
  <si>
    <t>6/4/4/0</t>
  </si>
  <si>
    <t>7/4/4/0</t>
  </si>
  <si>
    <t>6/4/3/0</t>
  </si>
  <si>
    <t>5/3/5/0</t>
  </si>
  <si>
    <t>4/3/5/0</t>
  </si>
  <si>
    <t>3/3/4/0</t>
  </si>
  <si>
    <t>78/33/8/3</t>
  </si>
  <si>
    <t>79/31/8/4</t>
  </si>
  <si>
    <t>81/31/7/4</t>
  </si>
  <si>
    <t>80/32/7/4</t>
  </si>
  <si>
    <t>85/33/5/4</t>
  </si>
  <si>
    <t>87/35/5/4</t>
  </si>
  <si>
    <t>88/33/5/4</t>
  </si>
  <si>
    <t>96/35/5/4</t>
  </si>
  <si>
    <t>75/34/5/4</t>
  </si>
  <si>
    <t>82/36/5/4</t>
  </si>
  <si>
    <t>84/34/5/4</t>
  </si>
  <si>
    <t>79/36/5/4</t>
  </si>
  <si>
    <t>81/35/5/4</t>
  </si>
  <si>
    <t>82/37/5/4</t>
  </si>
  <si>
    <t>86/36/5/5</t>
  </si>
  <si>
    <t>90/35/6/5</t>
  </si>
  <si>
    <t>90/35/6/6</t>
  </si>
  <si>
    <t>88/35/6/5</t>
  </si>
  <si>
    <t>95/37/6/5</t>
  </si>
  <si>
    <t>92/38/7/5</t>
  </si>
  <si>
    <t>103/38/7/5</t>
  </si>
  <si>
    <t>103/40/6/5</t>
  </si>
  <si>
    <t>100/37/6/5</t>
  </si>
  <si>
    <t>103/33/6/5</t>
  </si>
  <si>
    <t>100/34/6/5</t>
  </si>
  <si>
    <t>5/0/7/4</t>
  </si>
  <si>
    <t>8/0/9/6</t>
  </si>
  <si>
    <t>9/0/8/7</t>
  </si>
  <si>
    <t>4/1/15/2</t>
  </si>
  <si>
    <t>10/1/10/2</t>
  </si>
  <si>
    <t>12/0/9/2</t>
  </si>
  <si>
    <t>12/2/9/2</t>
  </si>
  <si>
    <t>14/3/7/0</t>
  </si>
  <si>
    <t>9/2/6/1</t>
  </si>
  <si>
    <t>71/7/2</t>
  </si>
  <si>
    <t>11/1/6/1</t>
  </si>
  <si>
    <t>11/1/4/1</t>
  </si>
  <si>
    <t>4/0/8/0</t>
  </si>
  <si>
    <t>4/0/9/1</t>
  </si>
  <si>
    <t>4/0/9/2</t>
  </si>
  <si>
    <t>5/0/10/1</t>
  </si>
  <si>
    <t>11/0/11/2</t>
  </si>
  <si>
    <t>10/0/12/1</t>
  </si>
  <si>
    <t>8/2/11/0</t>
  </si>
  <si>
    <t>7/1/10/0</t>
  </si>
  <si>
    <t>10/1/11/0</t>
  </si>
  <si>
    <t>7/1/12/0</t>
  </si>
  <si>
    <t>7/2/11/1</t>
  </si>
  <si>
    <t>7/2/12/1</t>
  </si>
  <si>
    <t>24/2/4/1</t>
  </si>
  <si>
    <t>21/2/8/3</t>
  </si>
  <si>
    <t>22/3/9/3</t>
  </si>
  <si>
    <t>10/3/9/6</t>
  </si>
  <si>
    <t>10/4/9/7</t>
  </si>
  <si>
    <t>12/4/9/7</t>
  </si>
  <si>
    <t>10/3/12/4</t>
  </si>
  <si>
    <t>12/3/12/5</t>
  </si>
  <si>
    <t>15/1/10/4</t>
  </si>
  <si>
    <t>15/1/11/3</t>
  </si>
  <si>
    <t>16/1/9/2</t>
  </si>
  <si>
    <t>25/2/9/2</t>
  </si>
  <si>
    <t>19/1/4/2</t>
  </si>
  <si>
    <t>11/0/4/7</t>
  </si>
  <si>
    <t>14/0/4/7</t>
  </si>
  <si>
    <t>14/0/4/8</t>
  </si>
  <si>
    <t>14/0/5/8</t>
  </si>
  <si>
    <t>20/1/8/7</t>
  </si>
  <si>
    <t>21/1/4/8</t>
  </si>
  <si>
    <t>18/2/4/8</t>
  </si>
  <si>
    <t>21/1/7/7</t>
  </si>
  <si>
    <t>14/1/10/2</t>
  </si>
  <si>
    <t>21/1/9/3</t>
  </si>
  <si>
    <t>17/2/7/2</t>
  </si>
  <si>
    <t>3/0/1/0</t>
  </si>
  <si>
    <t>11/0/1/0</t>
  </si>
  <si>
    <t>10/0/1/0</t>
  </si>
  <si>
    <t>9/2/1/0</t>
  </si>
  <si>
    <t>7/2/1/0</t>
  </si>
  <si>
    <t>6/3/1/0</t>
  </si>
  <si>
    <t>66/30/8/3</t>
  </si>
  <si>
    <t>68/29/7/3</t>
  </si>
  <si>
    <t>65/28/7/4</t>
  </si>
  <si>
    <t>67/28/8/3</t>
  </si>
  <si>
    <t>68/27/8/3</t>
  </si>
  <si>
    <t>69/28/7/3</t>
  </si>
  <si>
    <t>64/29/7/4</t>
  </si>
  <si>
    <t>62/30/9/3</t>
  </si>
  <si>
    <t>68/30/9/3</t>
  </si>
  <si>
    <t>69/30/9/3</t>
  </si>
  <si>
    <t>70/34/9/3</t>
  </si>
  <si>
    <t>70/33/9/3</t>
  </si>
  <si>
    <t>70/32/9/3</t>
  </si>
  <si>
    <t>76/34/9/3</t>
  </si>
  <si>
    <t>85/33/9/3</t>
  </si>
  <si>
    <t>68/37/9/3</t>
  </si>
  <si>
    <t>73/41/9/3</t>
  </si>
  <si>
    <t>69/43/9/3</t>
  </si>
  <si>
    <t>70/49/9/3</t>
  </si>
  <si>
    <t>64/47/9/3</t>
  </si>
  <si>
    <t>70/45/9/3</t>
  </si>
  <si>
    <t>66/42/9/3</t>
  </si>
  <si>
    <t>66/36/9/3</t>
  </si>
  <si>
    <t>69/36/8/4</t>
  </si>
  <si>
    <t>75/34/8/4</t>
  </si>
  <si>
    <t>6/2/5/1</t>
  </si>
  <si>
    <t>6/1/5/1</t>
  </si>
  <si>
    <t>8/2/6/1</t>
  </si>
  <si>
    <t>5/1/6/2</t>
  </si>
  <si>
    <t>5/0/4/1</t>
  </si>
  <si>
    <t>6/0/3/2</t>
  </si>
  <si>
    <t>6/0/2/2</t>
  </si>
  <si>
    <t>11/1/2/3</t>
  </si>
  <si>
    <t>8/0/5/0</t>
  </si>
  <si>
    <t>7/0/4/0</t>
  </si>
  <si>
    <t>10/1/5/0</t>
  </si>
  <si>
    <t>12/1/5/1</t>
  </si>
  <si>
    <t>15/2/6/0</t>
  </si>
  <si>
    <t>11/1/7/1</t>
  </si>
  <si>
    <t>12/1/8/0</t>
  </si>
  <si>
    <t>8/1/7/1</t>
  </si>
  <si>
    <t>8/0/6/2</t>
  </si>
  <si>
    <t>12/0/12/1</t>
  </si>
  <si>
    <t>13/0/7/1</t>
  </si>
  <si>
    <t>9/1/8/0</t>
  </si>
  <si>
    <t>8/1/8/1</t>
  </si>
  <si>
    <t>7/2/9/2</t>
  </si>
  <si>
    <t>7/1/7/3</t>
  </si>
  <si>
    <t>6/3/7/3</t>
  </si>
  <si>
    <t>7/3/7/3</t>
  </si>
  <si>
    <t>11/1/8/2</t>
  </si>
  <si>
    <t>14/1/8/3</t>
  </si>
  <si>
    <t>6/0/10/1</t>
  </si>
  <si>
    <t>11/0/6/1</t>
  </si>
  <si>
    <t>13/0/5/1</t>
  </si>
  <si>
    <t>13/0/6/2</t>
  </si>
  <si>
    <t>15/2/5/4</t>
  </si>
  <si>
    <t>16/0/6/4</t>
  </si>
  <si>
    <t>13/1/8/3</t>
  </si>
  <si>
    <t>12/2/5/3</t>
  </si>
  <si>
    <t>11/0/5/3/4</t>
  </si>
  <si>
    <t>15/1/7/1</t>
  </si>
  <si>
    <t>18/1/4/1</t>
  </si>
  <si>
    <t>17/1/4/1</t>
  </si>
  <si>
    <t>22/1/4/1</t>
  </si>
  <si>
    <t>Queue/Progress/ Awaiting/Need</t>
  </si>
  <si>
    <t>59/17/9/2</t>
  </si>
  <si>
    <t>57/17/8/2</t>
  </si>
  <si>
    <t>55/19/8/1</t>
  </si>
  <si>
    <t>58/20/8/1</t>
  </si>
  <si>
    <t>60/19/8/1</t>
  </si>
  <si>
    <t>63/19/7/1</t>
  </si>
  <si>
    <t>63/21/7/1</t>
  </si>
  <si>
    <t>67/18/7/2</t>
  </si>
  <si>
    <t>64/16/7/2</t>
  </si>
  <si>
    <t>65/17/7/2</t>
  </si>
  <si>
    <t>69/17/7/2</t>
  </si>
  <si>
    <t>71/18/8/3</t>
  </si>
  <si>
    <t>71/17/11/3</t>
  </si>
  <si>
    <t>55/16/11/3</t>
  </si>
  <si>
    <t>54/17/11/3</t>
  </si>
  <si>
    <t>55/17/10/3</t>
  </si>
  <si>
    <t>60/18/10/3</t>
  </si>
  <si>
    <t>59/20/11/3</t>
  </si>
  <si>
    <t>59/20/10/3</t>
  </si>
  <si>
    <t>62/22/10/3</t>
  </si>
  <si>
    <t>63/22/10/2</t>
  </si>
  <si>
    <t>58/21/9/2</t>
  </si>
  <si>
    <t>61/26/9/4</t>
  </si>
  <si>
    <t>65/32/9/3</t>
  </si>
  <si>
    <t>62/32/9/3</t>
  </si>
  <si>
    <t>66/35/8/3</t>
  </si>
  <si>
    <t>7/4/3/0</t>
  </si>
  <si>
    <t>8/3/2/1</t>
  </si>
  <si>
    <t>6/3/4/0</t>
  </si>
  <si>
    <t>5/4/2/0</t>
  </si>
  <si>
    <t>5/4/2/1</t>
  </si>
  <si>
    <t>6/4/2/2</t>
  </si>
  <si>
    <t>9/3/4/0</t>
  </si>
  <si>
    <t>8/2/4/0</t>
  </si>
  <si>
    <t>8/3/1/2</t>
  </si>
  <si>
    <t>9/0/1/3</t>
  </si>
  <si>
    <t>11/1/5/2</t>
  </si>
  <si>
    <t>10/2/2/0</t>
  </si>
  <si>
    <t>5/2/9/0</t>
  </si>
  <si>
    <t>5/1/9/0</t>
  </si>
  <si>
    <t>5/0/10/0</t>
  </si>
  <si>
    <t>12/1/4/1</t>
  </si>
  <si>
    <t>8/1/4/1</t>
  </si>
  <si>
    <t>7/1/5/0</t>
  </si>
  <si>
    <t>8/0/4/0</t>
  </si>
  <si>
    <t>7/0/4/1</t>
  </si>
  <si>
    <t>7/2/4/1</t>
  </si>
  <si>
    <t>6/2/5/0</t>
  </si>
  <si>
    <t>5/2/3/1</t>
  </si>
  <si>
    <t>7/2/1/1</t>
  </si>
  <si>
    <t>9/2/1/1</t>
  </si>
  <si>
    <t>6/2/2/1</t>
  </si>
  <si>
    <t>9/2/2/1</t>
  </si>
  <si>
    <t>13/3/2/1</t>
  </si>
  <si>
    <t>11/3/1/1</t>
  </si>
  <si>
    <t>7/2/1/4</t>
  </si>
  <si>
    <t>7/3/1/4</t>
  </si>
  <si>
    <t>10/3/1/4</t>
  </si>
  <si>
    <t>11/4/1/4</t>
  </si>
  <si>
    <t>11/4/2/4</t>
  </si>
  <si>
    <t>10/4/4/2</t>
  </si>
  <si>
    <t>12/2/4/2</t>
  </si>
  <si>
    <t>9/2/3/2</t>
  </si>
  <si>
    <t>8/2/3/2</t>
  </si>
  <si>
    <t>10/2/3/2</t>
  </si>
  <si>
    <t>11/3/3/2</t>
  </si>
  <si>
    <t>7/4/4/1</t>
  </si>
  <si>
    <t>5/3/5/1</t>
  </si>
  <si>
    <t>4/3/5/1</t>
  </si>
  <si>
    <t>4/3/6/1</t>
  </si>
  <si>
    <t>8/4/5/2</t>
  </si>
  <si>
    <t>5/3/6/2</t>
  </si>
  <si>
    <t>2023 Avg</t>
  </si>
  <si>
    <t>Non-Repair</t>
  </si>
  <si>
    <t>Revenue</t>
  </si>
  <si>
    <t>71/12/9/0</t>
  </si>
  <si>
    <t>66/12/7/0</t>
  </si>
  <si>
    <t>Non-Repair Rev.</t>
  </si>
  <si>
    <t>68/12/7/0</t>
  </si>
  <si>
    <t>71/4/7/0</t>
  </si>
  <si>
    <t>70/6/7/0</t>
  </si>
  <si>
    <t>53/7/8/0</t>
  </si>
  <si>
    <t>52/7/8/0</t>
  </si>
  <si>
    <t>48/7/10/0</t>
  </si>
  <si>
    <t>50/5/10/0</t>
  </si>
  <si>
    <t>51/6/9/0</t>
  </si>
  <si>
    <t>82/6/9/0</t>
  </si>
  <si>
    <t>80/7/10/0</t>
  </si>
  <si>
    <t>80/9/10/0</t>
  </si>
  <si>
    <t>73/13/10/1</t>
  </si>
  <si>
    <t>79/13/10/1</t>
  </si>
  <si>
    <t>82/14/10/1</t>
  </si>
  <si>
    <t>80/15/11/1</t>
  </si>
  <si>
    <t>81/16/11/1</t>
  </si>
  <si>
    <t>80/16/10/1</t>
  </si>
  <si>
    <t>57/12/11/2</t>
  </si>
  <si>
    <t>56/12/11/2</t>
  </si>
  <si>
    <t>58/12/11/2</t>
  </si>
  <si>
    <t>58/15/9/2</t>
  </si>
  <si>
    <t>57/15/9/2</t>
  </si>
  <si>
    <t>4/4/4/2</t>
  </si>
  <si>
    <t>8/4/4/1</t>
  </si>
  <si>
    <t>9/4/3/1</t>
  </si>
  <si>
    <t>9/4/5/0</t>
  </si>
  <si>
    <t>4/2/5/0</t>
  </si>
  <si>
    <t>4/2/6/3</t>
  </si>
  <si>
    <t>5/2/4/3</t>
  </si>
  <si>
    <t>5/3/6/1</t>
  </si>
  <si>
    <t>8/4/8/1</t>
  </si>
  <si>
    <t>6/3/11/1</t>
  </si>
  <si>
    <t>7/3/12/1</t>
  </si>
  <si>
    <t>7/3/7/1</t>
  </si>
  <si>
    <t>7/2/6/1</t>
  </si>
  <si>
    <t>8/2/3/0</t>
  </si>
  <si>
    <t>6/2/3/1</t>
  </si>
  <si>
    <t>8/2/3/1</t>
  </si>
  <si>
    <t>8/3/4/1</t>
  </si>
  <si>
    <t>8/3/5/0</t>
  </si>
  <si>
    <t>6/5/3/1</t>
  </si>
  <si>
    <t>7/5/3/1</t>
  </si>
  <si>
    <t>1/2/1/2</t>
  </si>
  <si>
    <t>2/1/1/2</t>
  </si>
  <si>
    <t>6/1/1/2</t>
  </si>
  <si>
    <t>5/1/2/2</t>
  </si>
  <si>
    <t>7/1/2/2</t>
  </si>
  <si>
    <t>8/2/2/2</t>
  </si>
  <si>
    <t>3/2/2/2</t>
  </si>
  <si>
    <t>4/1/2/2</t>
  </si>
  <si>
    <t>2/1/1/4</t>
  </si>
  <si>
    <t>3/1/1/4</t>
  </si>
  <si>
    <t>6/1/1/5</t>
  </si>
  <si>
    <t>8/1/1/5</t>
  </si>
  <si>
    <t>1/2/4/2</t>
  </si>
  <si>
    <t>1/3/4/2</t>
  </si>
  <si>
    <t>2/2/9/1</t>
  </si>
  <si>
    <t>3/2/9/1</t>
  </si>
  <si>
    <t>4/2/7/1</t>
  </si>
  <si>
    <t>1/2/6/1</t>
  </si>
  <si>
    <t>5/1/4/1</t>
  </si>
  <si>
    <t>3/2/4/1</t>
  </si>
  <si>
    <t>47/11/15/10</t>
  </si>
  <si>
    <t>9/1/4/3</t>
  </si>
  <si>
    <t>7/7/9/2</t>
  </si>
  <si>
    <t>4/0/4/0</t>
  </si>
  <si>
    <t>Total Volume</t>
  </si>
  <si>
    <t>Number of all workerders completed in the period</t>
  </si>
  <si>
    <t>Total Volume =</t>
  </si>
  <si>
    <t>49/12/15/11</t>
  </si>
  <si>
    <t>9/8/10/3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</si>
</sst>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&quot;$&quot;#,##0.00"/>
    <numFmt numFmtId="166" formatCode="_([$$-409]* #,##0.00_);_([$$-409]* \(#,##0.00\);_([$$-409]* &quot;-&quot;??_);_(@_)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i/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Arial Nova Cond Light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Amasis MT Pro Medium"/>
      <family val="1"/>
    </font>
    <font>
      <sz val="11"/>
      <name val="Amasis MT Pro Medium"/>
      <family val="1"/>
    </font>
    <font>
      <sz val="11"/>
      <color rgb="FFFF0000"/>
      <name val="Times New Roman"/>
      <family val="1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B05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DLaM Display"/>
    </font>
    <font>
      <sz val="9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B050"/>
      <name val="Aptos Display"/>
      <family val="2"/>
      <scheme val="major"/>
    </font>
    <font>
      <sz val="9"/>
      <color rgb="FF000000"/>
      <name val="ADLaM Display"/>
    </font>
  </fonts>
  <fills count="2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1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5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5" fillId="8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/>
    </xf>
    <xf numFmtId="14" fontId="1" fillId="2" borderId="12" xfId="0" applyNumberFormat="1" applyFont="1" applyFill="1" applyBorder="1" applyAlignment="1">
      <alignment horizontal="center"/>
    </xf>
    <xf numFmtId="164" fontId="1" fillId="2" borderId="12" xfId="0" applyNumberFormat="1" applyFont="1" applyFill="1" applyBorder="1" applyAlignment="1">
      <alignment horizontal="center"/>
    </xf>
    <xf numFmtId="164" fontId="1" fillId="0" borderId="13" xfId="0" applyNumberFormat="1" applyFont="1" applyBorder="1" applyAlignment="1">
      <alignment horizontal="center" wrapText="1"/>
    </xf>
    <xf numFmtId="0" fontId="1" fillId="2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2" borderId="15" xfId="0" applyFont="1" applyFill="1" applyBorder="1" applyAlignment="1">
      <alignment horizontal="center"/>
    </xf>
    <xf numFmtId="164" fontId="1" fillId="10" borderId="12" xfId="0" applyNumberFormat="1" applyFont="1" applyFill="1" applyBorder="1" applyAlignment="1">
      <alignment horizontal="center" wrapText="1"/>
    </xf>
    <xf numFmtId="164" fontId="1" fillId="10" borderId="13" xfId="0" applyNumberFormat="1" applyFont="1" applyFill="1" applyBorder="1" applyAlignment="1">
      <alignment horizontal="center" wrapText="1"/>
    </xf>
    <xf numFmtId="0" fontId="1" fillId="10" borderId="13" xfId="0" applyFont="1" applyFill="1" applyBorder="1" applyAlignment="1">
      <alignment horizontal="center" wrapText="1"/>
    </xf>
    <xf numFmtId="0" fontId="1" fillId="10" borderId="15" xfId="0" applyFont="1" applyFill="1" applyBorder="1" applyAlignment="1">
      <alignment horizontal="center" wrapText="1"/>
    </xf>
    <xf numFmtId="0" fontId="1" fillId="11" borderId="16" xfId="0" applyFont="1" applyFill="1" applyBorder="1" applyAlignment="1">
      <alignment horizontal="center"/>
    </xf>
    <xf numFmtId="164" fontId="8" fillId="11" borderId="16" xfId="0" applyNumberFormat="1" applyFont="1" applyFill="1" applyBorder="1" applyAlignment="1">
      <alignment horizontal="center"/>
    </xf>
    <xf numFmtId="164" fontId="1" fillId="0" borderId="12" xfId="0" applyNumberFormat="1" applyFont="1" applyBorder="1" applyAlignment="1">
      <alignment horizontal="center" readingOrder="1"/>
    </xf>
    <xf numFmtId="164" fontId="1" fillId="0" borderId="13" xfId="0" applyNumberFormat="1" applyFont="1" applyBorder="1" applyAlignment="1">
      <alignment horizontal="center" readingOrder="1"/>
    </xf>
    <xf numFmtId="0" fontId="1" fillId="0" borderId="13" xfId="0" applyFont="1" applyBorder="1" applyAlignment="1">
      <alignment horizontal="center" readingOrder="1"/>
    </xf>
    <xf numFmtId="0" fontId="1" fillId="0" borderId="15" xfId="0" applyFont="1" applyBorder="1" applyAlignment="1">
      <alignment horizontal="center" readingOrder="1"/>
    </xf>
    <xf numFmtId="0" fontId="1" fillId="4" borderId="16" xfId="0" applyFont="1" applyFill="1" applyBorder="1" applyAlignment="1">
      <alignment horizontal="center"/>
    </xf>
    <xf numFmtId="164" fontId="8" fillId="4" borderId="16" xfId="0" applyNumberFormat="1" applyFont="1" applyFill="1" applyBorder="1" applyAlignment="1">
      <alignment horizontal="center"/>
    </xf>
    <xf numFmtId="164" fontId="1" fillId="10" borderId="12" xfId="0" applyNumberFormat="1" applyFont="1" applyFill="1" applyBorder="1" applyAlignment="1">
      <alignment horizontal="center"/>
    </xf>
    <xf numFmtId="164" fontId="1" fillId="10" borderId="13" xfId="0" applyNumberFormat="1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164" fontId="1" fillId="0" borderId="12" xfId="0" applyNumberFormat="1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164" fontId="9" fillId="10" borderId="12" xfId="0" applyNumberFormat="1" applyFont="1" applyFill="1" applyBorder="1" applyAlignment="1">
      <alignment horizontal="center" readingOrder="1"/>
    </xf>
    <xf numFmtId="164" fontId="9" fillId="10" borderId="13" xfId="0" applyNumberFormat="1" applyFont="1" applyFill="1" applyBorder="1" applyAlignment="1">
      <alignment horizontal="center" readingOrder="1"/>
    </xf>
    <xf numFmtId="0" fontId="9" fillId="10" borderId="13" xfId="0" applyFont="1" applyFill="1" applyBorder="1" applyAlignment="1">
      <alignment horizontal="center" readingOrder="1"/>
    </xf>
    <xf numFmtId="0" fontId="9" fillId="10" borderId="15" xfId="0" applyFont="1" applyFill="1" applyBorder="1" applyAlignment="1">
      <alignment horizontal="center" readingOrder="1"/>
    </xf>
    <xf numFmtId="164" fontId="9" fillId="0" borderId="12" xfId="0" applyNumberFormat="1" applyFont="1" applyBorder="1" applyAlignment="1">
      <alignment horizontal="center" wrapText="1"/>
    </xf>
    <xf numFmtId="164" fontId="9" fillId="0" borderId="13" xfId="0" applyNumberFormat="1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164" fontId="9" fillId="10" borderId="12" xfId="0" applyNumberFormat="1" applyFont="1" applyFill="1" applyBorder="1" applyAlignment="1">
      <alignment horizontal="center" wrapText="1"/>
    </xf>
    <xf numFmtId="164" fontId="9" fillId="10" borderId="13" xfId="0" applyNumberFormat="1" applyFont="1" applyFill="1" applyBorder="1" applyAlignment="1">
      <alignment horizontal="center" wrapText="1"/>
    </xf>
    <xf numFmtId="0" fontId="9" fillId="10" borderId="13" xfId="0" applyFont="1" applyFill="1" applyBorder="1" applyAlignment="1">
      <alignment horizontal="center" wrapText="1"/>
    </xf>
    <xf numFmtId="0" fontId="9" fillId="10" borderId="15" xfId="0" applyFont="1" applyFill="1" applyBorder="1" applyAlignment="1">
      <alignment horizontal="center" wrapText="1"/>
    </xf>
    <xf numFmtId="164" fontId="9" fillId="0" borderId="12" xfId="0" applyNumberFormat="1" applyFont="1" applyBorder="1" applyAlignment="1">
      <alignment horizontal="center" readingOrder="1"/>
    </xf>
    <xf numFmtId="164" fontId="9" fillId="0" borderId="13" xfId="0" applyNumberFormat="1" applyFont="1" applyBorder="1" applyAlignment="1">
      <alignment horizontal="center" readingOrder="1"/>
    </xf>
    <xf numFmtId="0" fontId="9" fillId="0" borderId="13" xfId="0" applyFont="1" applyBorder="1" applyAlignment="1">
      <alignment horizontal="center" readingOrder="1"/>
    </xf>
    <xf numFmtId="0" fontId="9" fillId="0" borderId="15" xfId="0" applyFont="1" applyBorder="1" applyAlignment="1">
      <alignment horizontal="center" readingOrder="1"/>
    </xf>
    <xf numFmtId="164" fontId="1" fillId="0" borderId="12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164" fontId="1" fillId="10" borderId="12" xfId="0" applyNumberFormat="1" applyFont="1" applyFill="1" applyBorder="1" applyAlignment="1">
      <alignment horizontal="center" readingOrder="1"/>
    </xf>
    <xf numFmtId="164" fontId="1" fillId="10" borderId="13" xfId="0" applyNumberFormat="1" applyFont="1" applyFill="1" applyBorder="1" applyAlignment="1">
      <alignment horizontal="center" readingOrder="1"/>
    </xf>
    <xf numFmtId="0" fontId="1" fillId="10" borderId="13" xfId="0" applyFont="1" applyFill="1" applyBorder="1" applyAlignment="1">
      <alignment horizontal="center" readingOrder="1"/>
    </xf>
    <xf numFmtId="0" fontId="1" fillId="10" borderId="15" xfId="0" applyFont="1" applyFill="1" applyBorder="1" applyAlignment="1">
      <alignment horizontal="center" readingOrder="1"/>
    </xf>
    <xf numFmtId="0" fontId="1" fillId="0" borderId="0" xfId="0" applyFont="1" applyAlignment="1">
      <alignment horizontal="center" readingOrder="1"/>
    </xf>
    <xf numFmtId="0" fontId="1" fillId="0" borderId="0" xfId="0" applyFont="1" applyAlignment="1">
      <alignment horizontal="center" wrapText="1"/>
    </xf>
    <xf numFmtId="0" fontId="1" fillId="10" borderId="15" xfId="0" applyFont="1" applyFill="1" applyBorder="1" applyAlignment="1">
      <alignment horizontal="center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164" fontId="1" fillId="0" borderId="18" xfId="0" applyNumberFormat="1" applyFont="1" applyBorder="1" applyAlignment="1">
      <alignment horizontal="center" wrapText="1"/>
    </xf>
    <xf numFmtId="164" fontId="1" fillId="0" borderId="14" xfId="0" applyNumberFormat="1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164" fontId="11" fillId="11" borderId="23" xfId="0" applyNumberFormat="1" applyFont="1" applyFill="1" applyBorder="1" applyAlignment="1">
      <alignment horizontal="center"/>
    </xf>
    <xf numFmtId="164" fontId="11" fillId="4" borderId="23" xfId="0" applyNumberFormat="1" applyFont="1" applyFill="1" applyBorder="1" applyAlignment="1">
      <alignment horizontal="center"/>
    </xf>
    <xf numFmtId="3" fontId="11" fillId="5" borderId="24" xfId="0" applyNumberFormat="1" applyFont="1" applyFill="1" applyBorder="1" applyAlignment="1">
      <alignment horizontal="center"/>
    </xf>
    <xf numFmtId="3" fontId="11" fillId="5" borderId="25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vertical="center"/>
    </xf>
    <xf numFmtId="164" fontId="11" fillId="0" borderId="0" xfId="0" applyNumberFormat="1" applyFont="1"/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 vertical="center" wrapText="1"/>
    </xf>
    <xf numFmtId="0" fontId="5" fillId="7" borderId="29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/>
    </xf>
    <xf numFmtId="164" fontId="8" fillId="11" borderId="16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164" fontId="8" fillId="4" borderId="16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6" fontId="1" fillId="0" borderId="0" xfId="0" applyNumberFormat="1" applyFont="1" applyAlignment="1">
      <alignment horizontal="center"/>
    </xf>
    <xf numFmtId="164" fontId="1" fillId="0" borderId="23" xfId="0" applyNumberFormat="1" applyFont="1" applyBorder="1" applyAlignment="1">
      <alignment horizontal="center" wrapText="1"/>
    </xf>
    <xf numFmtId="164" fontId="1" fillId="0" borderId="30" xfId="0" applyNumberFormat="1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14" fontId="1" fillId="0" borderId="16" xfId="0" applyNumberFormat="1" applyFont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164" fontId="12" fillId="10" borderId="13" xfId="0" applyNumberFormat="1" applyFont="1" applyFill="1" applyBorder="1" applyAlignment="1">
      <alignment horizontal="center" readingOrder="1"/>
    </xf>
    <xf numFmtId="0" fontId="1" fillId="0" borderId="7" xfId="0" applyFont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13" borderId="15" xfId="0" applyFont="1" applyFill="1" applyBorder="1" applyAlignment="1">
      <alignment horizontal="center"/>
    </xf>
    <xf numFmtId="0" fontId="5" fillId="13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164" fontId="9" fillId="10" borderId="11" xfId="0" applyNumberFormat="1" applyFont="1" applyFill="1" applyBorder="1" applyAlignment="1">
      <alignment horizontal="center" wrapText="1"/>
    </xf>
    <xf numFmtId="0" fontId="1" fillId="10" borderId="0" xfId="0" applyFont="1" applyFill="1" applyAlignment="1">
      <alignment horizontal="center"/>
    </xf>
    <xf numFmtId="164" fontId="1" fillId="0" borderId="11" xfId="0" applyNumberFormat="1" applyFont="1" applyBorder="1" applyAlignment="1">
      <alignment horizontal="center" readingOrder="1"/>
    </xf>
    <xf numFmtId="164" fontId="1" fillId="10" borderId="11" xfId="0" applyNumberFormat="1" applyFont="1" applyFill="1" applyBorder="1" applyAlignment="1">
      <alignment horizontal="center"/>
    </xf>
    <xf numFmtId="164" fontId="1" fillId="10" borderId="11" xfId="0" applyNumberFormat="1" applyFont="1" applyFill="1" applyBorder="1" applyAlignment="1">
      <alignment horizontal="center" wrapText="1"/>
    </xf>
    <xf numFmtId="164" fontId="1" fillId="0" borderId="11" xfId="0" applyNumberFormat="1" applyFont="1" applyBorder="1" applyAlignment="1">
      <alignment horizontal="center" wrapText="1"/>
    </xf>
    <xf numFmtId="164" fontId="9" fillId="10" borderId="11" xfId="0" applyNumberFormat="1" applyFont="1" applyFill="1" applyBorder="1" applyAlignment="1">
      <alignment horizontal="center" readingOrder="1"/>
    </xf>
    <xf numFmtId="164" fontId="9" fillId="0" borderId="11" xfId="0" applyNumberFormat="1" applyFont="1" applyBorder="1" applyAlignment="1">
      <alignment horizontal="center" wrapText="1"/>
    </xf>
    <xf numFmtId="0" fontId="1" fillId="2" borderId="17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3" fontId="1" fillId="0" borderId="17" xfId="0" applyNumberFormat="1" applyFont="1" applyBorder="1" applyAlignment="1">
      <alignment horizontal="center" wrapText="1"/>
    </xf>
    <xf numFmtId="164" fontId="1" fillId="10" borderId="36" xfId="0" applyNumberFormat="1" applyFont="1" applyFill="1" applyBorder="1" applyAlignment="1">
      <alignment horizontal="center"/>
    </xf>
    <xf numFmtId="164" fontId="1" fillId="0" borderId="36" xfId="0" applyNumberFormat="1" applyFont="1" applyBorder="1" applyAlignment="1">
      <alignment horizontal="center" wrapText="1"/>
    </xf>
    <xf numFmtId="164" fontId="1" fillId="10" borderId="36" xfId="0" applyNumberFormat="1" applyFont="1" applyFill="1" applyBorder="1" applyAlignment="1">
      <alignment horizontal="center" wrapText="1"/>
    </xf>
    <xf numFmtId="164" fontId="1" fillId="0" borderId="42" xfId="0" applyNumberFormat="1" applyFont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164" fontId="11" fillId="11" borderId="36" xfId="0" applyNumberFormat="1" applyFont="1" applyFill="1" applyBorder="1" applyAlignment="1">
      <alignment horizontal="center"/>
    </xf>
    <xf numFmtId="1" fontId="11" fillId="14" borderId="15" xfId="0" applyNumberFormat="1" applyFont="1" applyFill="1" applyBorder="1" applyAlignment="1">
      <alignment horizontal="center"/>
    </xf>
    <xf numFmtId="3" fontId="11" fillId="5" borderId="0" xfId="0" applyNumberFormat="1" applyFont="1" applyFill="1" applyAlignment="1">
      <alignment horizontal="center"/>
    </xf>
    <xf numFmtId="164" fontId="13" fillId="0" borderId="0" xfId="0" applyNumberFormat="1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44" xfId="0" applyFont="1" applyFill="1" applyBorder="1" applyAlignment="1">
      <alignment horizontal="center"/>
    </xf>
    <xf numFmtId="0" fontId="5" fillId="5" borderId="45" xfId="0" applyFont="1" applyFill="1" applyBorder="1" applyAlignment="1">
      <alignment horizontal="center"/>
    </xf>
    <xf numFmtId="0" fontId="11" fillId="15" borderId="45" xfId="0" applyFont="1" applyFill="1" applyBorder="1" applyAlignment="1">
      <alignment horizontal="center"/>
    </xf>
    <xf numFmtId="0" fontId="11" fillId="15" borderId="16" xfId="0" applyFont="1" applyFill="1" applyBorder="1" applyAlignment="1">
      <alignment horizontal="center"/>
    </xf>
    <xf numFmtId="14" fontId="14" fillId="16" borderId="41" xfId="0" applyNumberFormat="1" applyFont="1" applyFill="1" applyBorder="1" applyAlignment="1">
      <alignment horizontal="center"/>
    </xf>
    <xf numFmtId="166" fontId="1" fillId="0" borderId="46" xfId="0" applyNumberFormat="1" applyFont="1" applyBorder="1" applyAlignment="1">
      <alignment horizontal="center"/>
    </xf>
    <xf numFmtId="164" fontId="13" fillId="5" borderId="45" xfId="0" applyNumberFormat="1" applyFont="1" applyFill="1" applyBorder="1" applyAlignment="1">
      <alignment horizontal="center"/>
    </xf>
    <xf numFmtId="166" fontId="1" fillId="15" borderId="45" xfId="0" applyNumberFormat="1" applyFont="1" applyFill="1" applyBorder="1" applyAlignment="1">
      <alignment horizontal="center"/>
    </xf>
    <xf numFmtId="14" fontId="14" fillId="15" borderId="16" xfId="0" applyNumberFormat="1" applyFont="1" applyFill="1" applyBorder="1" applyAlignment="1">
      <alignment horizontal="center"/>
    </xf>
    <xf numFmtId="166" fontId="1" fillId="0" borderId="16" xfId="0" applyNumberFormat="1" applyFont="1" applyBorder="1" applyAlignment="1">
      <alignment horizontal="center"/>
    </xf>
    <xf numFmtId="8" fontId="15" fillId="0" borderId="16" xfId="0" applyNumberFormat="1" applyFont="1" applyBorder="1"/>
    <xf numFmtId="8" fontId="16" fillId="0" borderId="16" xfId="0" applyNumberFormat="1" applyFont="1" applyBorder="1"/>
    <xf numFmtId="14" fontId="14" fillId="16" borderId="47" xfId="0" applyNumberFormat="1" applyFont="1" applyFill="1" applyBorder="1" applyAlignment="1">
      <alignment horizontal="center"/>
    </xf>
    <xf numFmtId="14" fontId="14" fillId="16" borderId="48" xfId="0" applyNumberFormat="1" applyFont="1" applyFill="1" applyBorder="1" applyAlignment="1">
      <alignment horizontal="center"/>
    </xf>
    <xf numFmtId="164" fontId="1" fillId="0" borderId="45" xfId="0" applyNumberFormat="1" applyFont="1" applyBorder="1" applyAlignment="1">
      <alignment horizontal="center"/>
    </xf>
    <xf numFmtId="14" fontId="14" fillId="5" borderId="49" xfId="0" applyNumberFormat="1" applyFont="1" applyFill="1" applyBorder="1" applyAlignment="1">
      <alignment horizontal="center"/>
    </xf>
    <xf numFmtId="166" fontId="1" fillId="5" borderId="50" xfId="0" applyNumberFormat="1" applyFont="1" applyFill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166" fontId="1" fillId="5" borderId="51" xfId="0" applyNumberFormat="1" applyFont="1" applyFill="1" applyBorder="1" applyAlignment="1">
      <alignment horizontal="center"/>
    </xf>
    <xf numFmtId="0" fontId="1" fillId="0" borderId="0" xfId="0" applyFont="1"/>
    <xf numFmtId="166" fontId="17" fillId="0" borderId="7" xfId="0" applyNumberFormat="1" applyFont="1" applyBorder="1"/>
    <xf numFmtId="164" fontId="17" fillId="0" borderId="0" xfId="0" applyNumberFormat="1" applyFont="1"/>
    <xf numFmtId="166" fontId="17" fillId="0" borderId="16" xfId="0" applyNumberFormat="1" applyFont="1" applyBorder="1"/>
    <xf numFmtId="0" fontId="1" fillId="15" borderId="16" xfId="0" applyFont="1" applyFill="1" applyBorder="1"/>
    <xf numFmtId="166" fontId="1" fillId="0" borderId="16" xfId="0" applyNumberFormat="1" applyFont="1" applyBorder="1"/>
    <xf numFmtId="0" fontId="1" fillId="5" borderId="16" xfId="0" applyFont="1" applyFill="1" applyBorder="1"/>
    <xf numFmtId="6" fontId="1" fillId="5" borderId="16" xfId="0" applyNumberFormat="1" applyFont="1" applyFill="1" applyBorder="1"/>
    <xf numFmtId="9" fontId="11" fillId="0" borderId="0" xfId="0" applyNumberFormat="1" applyFont="1"/>
    <xf numFmtId="9" fontId="11" fillId="0" borderId="0" xfId="0" applyNumberFormat="1" applyFont="1" applyAlignment="1">
      <alignment horizontal="center"/>
    </xf>
    <xf numFmtId="9" fontId="1" fillId="0" borderId="0" xfId="0" applyNumberFormat="1" applyFont="1"/>
    <xf numFmtId="0" fontId="18" fillId="17" borderId="22" xfId="0" applyFont="1" applyFill="1" applyBorder="1"/>
    <xf numFmtId="0" fontId="1" fillId="0" borderId="16" xfId="0" applyFont="1" applyBorder="1"/>
    <xf numFmtId="8" fontId="1" fillId="0" borderId="16" xfId="0" applyNumberFormat="1" applyFont="1" applyBorder="1"/>
    <xf numFmtId="6" fontId="1" fillId="0" borderId="16" xfId="0" applyNumberFormat="1" applyFont="1" applyBorder="1"/>
    <xf numFmtId="8" fontId="18" fillId="0" borderId="14" xfId="0" applyNumberFormat="1" applyFont="1" applyBorder="1"/>
    <xf numFmtId="0" fontId="18" fillId="17" borderId="14" xfId="0" applyFont="1" applyFill="1" applyBorder="1"/>
    <xf numFmtId="8" fontId="1" fillId="5" borderId="16" xfId="0" applyNumberFormat="1" applyFont="1" applyFill="1" applyBorder="1"/>
    <xf numFmtId="8" fontId="18" fillId="18" borderId="14" xfId="0" applyNumberFormat="1" applyFont="1" applyFill="1" applyBorder="1"/>
    <xf numFmtId="0" fontId="6" fillId="19" borderId="15" xfId="0" applyFont="1" applyFill="1" applyBorder="1" applyAlignment="1">
      <alignment horizontal="center"/>
    </xf>
    <xf numFmtId="0" fontId="5" fillId="19" borderId="10" xfId="0" applyFont="1" applyFill="1" applyBorder="1" applyAlignment="1">
      <alignment horizontal="center" vertical="center" wrapText="1"/>
    </xf>
    <xf numFmtId="3" fontId="11" fillId="7" borderId="0" xfId="0" applyNumberFormat="1" applyFont="1" applyFill="1" applyAlignment="1">
      <alignment horizontal="center"/>
    </xf>
    <xf numFmtId="164" fontId="1" fillId="8" borderId="12" xfId="0" applyNumberFormat="1" applyFont="1" applyFill="1" applyBorder="1" applyAlignment="1">
      <alignment horizontal="center" wrapText="1"/>
    </xf>
    <xf numFmtId="164" fontId="1" fillId="8" borderId="13" xfId="0" applyNumberFormat="1" applyFont="1" applyFill="1" applyBorder="1" applyAlignment="1">
      <alignment horizontal="center" wrapText="1"/>
    </xf>
    <xf numFmtId="0" fontId="1" fillId="8" borderId="13" xfId="0" applyFont="1" applyFill="1" applyBorder="1" applyAlignment="1">
      <alignment horizontal="center" wrapText="1"/>
    </xf>
    <xf numFmtId="0" fontId="1" fillId="0" borderId="52" xfId="0" applyFont="1" applyBorder="1" applyAlignment="1">
      <alignment horizontal="center" wrapText="1"/>
    </xf>
    <xf numFmtId="164" fontId="20" fillId="5" borderId="45" xfId="0" applyNumberFormat="1" applyFont="1" applyFill="1" applyBorder="1" applyAlignment="1">
      <alignment horizontal="center"/>
    </xf>
    <xf numFmtId="164" fontId="12" fillId="0" borderId="13" xfId="0" applyNumberFormat="1" applyFont="1" applyBorder="1" applyAlignment="1">
      <alignment horizontal="center" wrapText="1"/>
    </xf>
    <xf numFmtId="0" fontId="22" fillId="20" borderId="0" xfId="0" applyFont="1" applyFill="1" applyAlignment="1">
      <alignment horizontal="center"/>
    </xf>
    <xf numFmtId="0" fontId="25" fillId="5" borderId="55" xfId="0" applyFont="1" applyFill="1" applyBorder="1" applyAlignment="1">
      <alignment horizontal="center"/>
    </xf>
    <xf numFmtId="0" fontId="26" fillId="20" borderId="16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/>
    </xf>
    <xf numFmtId="0" fontId="25" fillId="7" borderId="5" xfId="0" applyFont="1" applyFill="1" applyBorder="1" applyAlignment="1">
      <alignment horizontal="center"/>
    </xf>
    <xf numFmtId="0" fontId="24" fillId="5" borderId="16" xfId="0" applyFont="1" applyFill="1" applyBorder="1" applyAlignment="1">
      <alignment horizontal="center" vertical="center" wrapText="1"/>
    </xf>
    <xf numFmtId="0" fontId="24" fillId="6" borderId="8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7" fillId="20" borderId="0" xfId="0" applyFont="1" applyFill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164" fontId="0" fillId="0" borderId="13" xfId="0" applyNumberFormat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4" xfId="0" applyBorder="1" applyAlignment="1">
      <alignment horizontal="center" wrapText="1"/>
    </xf>
    <xf numFmtId="0" fontId="0" fillId="2" borderId="15" xfId="0" applyFill="1" applyBorder="1" applyAlignment="1">
      <alignment horizontal="center"/>
    </xf>
    <xf numFmtId="164" fontId="0" fillId="8" borderId="12" xfId="0" applyNumberFormat="1" applyFill="1" applyBorder="1" applyAlignment="1">
      <alignment horizontal="center" wrapText="1"/>
    </xf>
    <xf numFmtId="164" fontId="0" fillId="8" borderId="13" xfId="0" applyNumberFormat="1" applyFill="1" applyBorder="1" applyAlignment="1">
      <alignment horizontal="center" wrapText="1"/>
    </xf>
    <xf numFmtId="0" fontId="0" fillId="8" borderId="13" xfId="0" applyFill="1" applyBorder="1" applyAlignment="1">
      <alignment horizontal="center" wrapText="1"/>
    </xf>
    <xf numFmtId="0" fontId="0" fillId="10" borderId="13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164" fontId="0" fillId="0" borderId="12" xfId="0" applyNumberFormat="1" applyBorder="1" applyAlignment="1">
      <alignment horizontal="center" readingOrder="1"/>
    </xf>
    <xf numFmtId="164" fontId="0" fillId="0" borderId="13" xfId="0" applyNumberFormat="1" applyBorder="1" applyAlignment="1">
      <alignment horizontal="center" readingOrder="1"/>
    </xf>
    <xf numFmtId="0" fontId="0" fillId="0" borderId="13" xfId="0" applyBorder="1" applyAlignment="1">
      <alignment horizontal="center" readingOrder="1"/>
    </xf>
    <xf numFmtId="0" fontId="0" fillId="0" borderId="15" xfId="0" applyBorder="1" applyAlignment="1">
      <alignment horizontal="center" readingOrder="1"/>
    </xf>
    <xf numFmtId="164" fontId="0" fillId="10" borderId="12" xfId="0" applyNumberFormat="1" applyFill="1" applyBorder="1" applyAlignment="1">
      <alignment horizontal="center"/>
    </xf>
    <xf numFmtId="164" fontId="0" fillId="10" borderId="13" xfId="0" applyNumberFormat="1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164" fontId="0" fillId="10" borderId="12" xfId="0" applyNumberFormat="1" applyFill="1" applyBorder="1" applyAlignment="1">
      <alignment horizontal="center" wrapText="1"/>
    </xf>
    <xf numFmtId="164" fontId="0" fillId="10" borderId="13" xfId="0" applyNumberFormat="1" applyFill="1" applyBorder="1" applyAlignment="1">
      <alignment horizontal="center" wrapText="1"/>
    </xf>
    <xf numFmtId="164" fontId="0" fillId="0" borderId="12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164" fontId="28" fillId="10" borderId="12" xfId="0" applyNumberFormat="1" applyFont="1" applyFill="1" applyBorder="1" applyAlignment="1">
      <alignment horizontal="center" readingOrder="1"/>
    </xf>
    <xf numFmtId="164" fontId="28" fillId="10" borderId="13" xfId="0" applyNumberFormat="1" applyFont="1" applyFill="1" applyBorder="1" applyAlignment="1">
      <alignment horizontal="center" readingOrder="1"/>
    </xf>
    <xf numFmtId="0" fontId="28" fillId="10" borderId="13" xfId="0" applyFont="1" applyFill="1" applyBorder="1" applyAlignment="1">
      <alignment horizontal="center" readingOrder="1"/>
    </xf>
    <xf numFmtId="0" fontId="28" fillId="10" borderId="15" xfId="0" applyFont="1" applyFill="1" applyBorder="1" applyAlignment="1">
      <alignment horizontal="center" readingOrder="1"/>
    </xf>
    <xf numFmtId="164" fontId="28" fillId="0" borderId="12" xfId="0" applyNumberFormat="1" applyFont="1" applyBorder="1" applyAlignment="1">
      <alignment horizontal="center" wrapText="1"/>
    </xf>
    <xf numFmtId="164" fontId="28" fillId="0" borderId="13" xfId="0" applyNumberFormat="1" applyFont="1" applyBorder="1" applyAlignment="1">
      <alignment horizontal="center" wrapText="1"/>
    </xf>
    <xf numFmtId="0" fontId="28" fillId="0" borderId="13" xfId="0" applyFont="1" applyBorder="1" applyAlignment="1">
      <alignment horizontal="center" wrapText="1"/>
    </xf>
    <xf numFmtId="0" fontId="28" fillId="0" borderId="15" xfId="0" applyFont="1" applyBorder="1" applyAlignment="1">
      <alignment horizontal="center" wrapText="1"/>
    </xf>
    <xf numFmtId="164" fontId="28" fillId="10" borderId="12" xfId="0" applyNumberFormat="1" applyFont="1" applyFill="1" applyBorder="1" applyAlignment="1">
      <alignment horizontal="center" wrapText="1"/>
    </xf>
    <xf numFmtId="164" fontId="28" fillId="10" borderId="13" xfId="0" applyNumberFormat="1" applyFont="1" applyFill="1" applyBorder="1" applyAlignment="1">
      <alignment horizontal="center" wrapText="1"/>
    </xf>
    <xf numFmtId="0" fontId="28" fillId="10" borderId="13" xfId="0" applyFont="1" applyFill="1" applyBorder="1" applyAlignment="1">
      <alignment horizontal="center" wrapText="1"/>
    </xf>
    <xf numFmtId="0" fontId="28" fillId="10" borderId="15" xfId="0" applyFont="1" applyFill="1" applyBorder="1" applyAlignment="1">
      <alignment horizontal="center" wrapText="1"/>
    </xf>
    <xf numFmtId="164" fontId="28" fillId="0" borderId="12" xfId="0" applyNumberFormat="1" applyFont="1" applyBorder="1" applyAlignment="1">
      <alignment horizontal="center" readingOrder="1"/>
    </xf>
    <xf numFmtId="164" fontId="28" fillId="0" borderId="13" xfId="0" applyNumberFormat="1" applyFont="1" applyBorder="1" applyAlignment="1">
      <alignment horizontal="center" readingOrder="1"/>
    </xf>
    <xf numFmtId="0" fontId="28" fillId="0" borderId="13" xfId="0" applyFont="1" applyBorder="1" applyAlignment="1">
      <alignment horizontal="center" readingOrder="1"/>
    </xf>
    <xf numFmtId="0" fontId="28" fillId="0" borderId="15" xfId="0" applyFont="1" applyBorder="1" applyAlignment="1">
      <alignment horizontal="center" readingOrder="1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10" borderId="12" xfId="0" applyNumberFormat="1" applyFill="1" applyBorder="1" applyAlignment="1">
      <alignment horizontal="center" readingOrder="1"/>
    </xf>
    <xf numFmtId="164" fontId="0" fillId="10" borderId="13" xfId="0" applyNumberFormat="1" applyFill="1" applyBorder="1" applyAlignment="1">
      <alignment horizontal="center" readingOrder="1"/>
    </xf>
    <xf numFmtId="0" fontId="0" fillId="10" borderId="13" xfId="0" applyFill="1" applyBorder="1" applyAlignment="1">
      <alignment horizontal="center" readingOrder="1"/>
    </xf>
    <xf numFmtId="0" fontId="0" fillId="10" borderId="15" xfId="0" applyFill="1" applyBorder="1" applyAlignment="1">
      <alignment horizontal="center" readingOrder="1"/>
    </xf>
    <xf numFmtId="0" fontId="0" fillId="10" borderId="15" xfId="0" applyFill="1" applyBorder="1" applyAlignment="1">
      <alignment horizontal="center"/>
    </xf>
    <xf numFmtId="164" fontId="0" fillId="10" borderId="17" xfId="0" applyNumberFormat="1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164" fontId="0" fillId="0" borderId="17" xfId="0" applyNumberFormat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9" xfId="0" applyBorder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164" fontId="0" fillId="0" borderId="18" xfId="0" applyNumberFormat="1" applyBorder="1" applyAlignment="1">
      <alignment horizontal="center" wrapText="1"/>
    </xf>
    <xf numFmtId="164" fontId="0" fillId="0" borderId="20" xfId="0" applyNumberFormat="1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164" fontId="0" fillId="0" borderId="14" xfId="0" applyNumberFormat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16" xfId="0" applyBorder="1" applyAlignment="1">
      <alignment horizontal="center"/>
    </xf>
    <xf numFmtId="164" fontId="21" fillId="11" borderId="23" xfId="0" applyNumberFormat="1" applyFont="1" applyFill="1" applyBorder="1" applyAlignment="1">
      <alignment horizontal="center"/>
    </xf>
    <xf numFmtId="164" fontId="21" fillId="4" borderId="23" xfId="0" applyNumberFormat="1" applyFont="1" applyFill="1" applyBorder="1" applyAlignment="1">
      <alignment horizontal="center"/>
    </xf>
    <xf numFmtId="3" fontId="21" fillId="5" borderId="24" xfId="0" applyNumberFormat="1" applyFont="1" applyFill="1" applyBorder="1" applyAlignment="1">
      <alignment horizontal="center"/>
    </xf>
    <xf numFmtId="3" fontId="21" fillId="5" borderId="2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22" fillId="0" borderId="13" xfId="0" applyNumberFormat="1" applyFont="1" applyBorder="1" applyAlignment="1">
      <alignment horizontal="center" wrapText="1"/>
    </xf>
    <xf numFmtId="164" fontId="0" fillId="0" borderId="23" xfId="0" applyNumberFormat="1" applyBorder="1" applyAlignment="1">
      <alignment horizontal="center" wrapText="1"/>
    </xf>
    <xf numFmtId="164" fontId="0" fillId="0" borderId="30" xfId="0" applyNumberFormat="1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14" fontId="0" fillId="0" borderId="16" xfId="0" applyNumberFormat="1" applyBorder="1" applyAlignment="1">
      <alignment horizontal="center"/>
    </xf>
    <xf numFmtId="0" fontId="0" fillId="2" borderId="54" xfId="0" applyFill="1" applyBorder="1" applyAlignment="1">
      <alignment horizontal="center"/>
    </xf>
    <xf numFmtId="164" fontId="22" fillId="10" borderId="13" xfId="0" applyNumberFormat="1" applyFont="1" applyFill="1" applyBorder="1" applyAlignment="1">
      <alignment horizontal="center" readingOrder="1"/>
    </xf>
    <xf numFmtId="0" fontId="0" fillId="0" borderId="12" xfId="0" applyBorder="1" applyAlignment="1">
      <alignment horizontal="center"/>
    </xf>
    <xf numFmtId="0" fontId="25" fillId="6" borderId="17" xfId="0" applyFont="1" applyFill="1" applyBorder="1" applyAlignment="1">
      <alignment horizontal="center"/>
    </xf>
    <xf numFmtId="0" fontId="25" fillId="13" borderId="15" xfId="0" applyFont="1" applyFill="1" applyBorder="1" applyAlignment="1">
      <alignment horizontal="center"/>
    </xf>
    <xf numFmtId="0" fontId="25" fillId="19" borderId="15" xfId="0" applyFont="1" applyFill="1" applyBorder="1" applyAlignment="1">
      <alignment horizontal="center"/>
    </xf>
    <xf numFmtId="0" fontId="24" fillId="6" borderId="9" xfId="0" applyFont="1" applyFill="1" applyBorder="1" applyAlignment="1">
      <alignment horizontal="center" vertical="center" wrapText="1"/>
    </xf>
    <xf numFmtId="0" fontId="24" fillId="13" borderId="10" xfId="0" applyFont="1" applyFill="1" applyBorder="1" applyAlignment="1">
      <alignment horizontal="center" vertical="center" wrapText="1"/>
    </xf>
    <xf numFmtId="0" fontId="24" fillId="19" borderId="10" xfId="0" applyFont="1" applyFill="1" applyBorder="1" applyAlignment="1">
      <alignment horizontal="center" vertical="center" wrapText="1"/>
    </xf>
    <xf numFmtId="164" fontId="28" fillId="10" borderId="11" xfId="0" applyNumberFormat="1" applyFont="1" applyFill="1" applyBorder="1" applyAlignment="1">
      <alignment horizontal="center" wrapText="1"/>
    </xf>
    <xf numFmtId="0" fontId="0" fillId="10" borderId="0" xfId="0" applyFill="1" applyAlignment="1">
      <alignment horizontal="center"/>
    </xf>
    <xf numFmtId="164" fontId="0" fillId="0" borderId="11" xfId="0" applyNumberFormat="1" applyBorder="1" applyAlignment="1">
      <alignment horizontal="center" readingOrder="1"/>
    </xf>
    <xf numFmtId="164" fontId="0" fillId="10" borderId="11" xfId="0" applyNumberFormat="1" applyFill="1" applyBorder="1" applyAlignment="1">
      <alignment horizontal="center"/>
    </xf>
    <xf numFmtId="164" fontId="0" fillId="10" borderId="11" xfId="0" applyNumberFormat="1" applyFill="1" applyBorder="1" applyAlignment="1">
      <alignment horizontal="center" wrapText="1"/>
    </xf>
    <xf numFmtId="164" fontId="0" fillId="0" borderId="11" xfId="0" applyNumberFormat="1" applyBorder="1" applyAlignment="1">
      <alignment horizontal="center" wrapText="1"/>
    </xf>
    <xf numFmtId="164" fontId="28" fillId="10" borderId="11" xfId="0" applyNumberFormat="1" applyFont="1" applyFill="1" applyBorder="1" applyAlignment="1">
      <alignment horizontal="center" readingOrder="1"/>
    </xf>
    <xf numFmtId="164" fontId="28" fillId="0" borderId="11" xfId="0" applyNumberFormat="1" applyFont="1" applyBorder="1" applyAlignment="1">
      <alignment horizontal="center" wrapText="1"/>
    </xf>
    <xf numFmtId="0" fontId="0" fillId="2" borderId="17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3" fontId="0" fillId="0" borderId="17" xfId="0" applyNumberFormat="1" applyBorder="1" applyAlignment="1">
      <alignment horizontal="center" wrapText="1"/>
    </xf>
    <xf numFmtId="164" fontId="0" fillId="10" borderId="36" xfId="0" applyNumberFormat="1" applyFill="1" applyBorder="1" applyAlignment="1">
      <alignment horizontal="center"/>
    </xf>
    <xf numFmtId="164" fontId="0" fillId="0" borderId="36" xfId="0" applyNumberFormat="1" applyBorder="1" applyAlignment="1">
      <alignment horizontal="center" wrapText="1"/>
    </xf>
    <xf numFmtId="164" fontId="0" fillId="10" borderId="36" xfId="0" applyNumberFormat="1" applyFill="1" applyBorder="1" applyAlignment="1">
      <alignment horizontal="center" wrapText="1"/>
    </xf>
    <xf numFmtId="164" fontId="0" fillId="0" borderId="42" xfId="0" applyNumberFormat="1" applyBorder="1" applyAlignment="1">
      <alignment horizontal="center"/>
    </xf>
    <xf numFmtId="0" fontId="0" fillId="2" borderId="43" xfId="0" applyFill="1" applyBorder="1" applyAlignment="1">
      <alignment horizontal="center"/>
    </xf>
    <xf numFmtId="164" fontId="21" fillId="11" borderId="36" xfId="0" applyNumberFormat="1" applyFont="1" applyFill="1" applyBorder="1" applyAlignment="1">
      <alignment horizontal="center"/>
    </xf>
    <xf numFmtId="1" fontId="21" fillId="14" borderId="15" xfId="0" applyNumberFormat="1" applyFont="1" applyFill="1" applyBorder="1" applyAlignment="1">
      <alignment horizontal="center"/>
    </xf>
    <xf numFmtId="3" fontId="21" fillId="5" borderId="0" xfId="0" applyNumberFormat="1" applyFont="1" applyFill="1" applyAlignment="1">
      <alignment horizontal="center"/>
    </xf>
    <xf numFmtId="3" fontId="21" fillId="7" borderId="0" xfId="0" applyNumberFormat="1" applyFont="1" applyFill="1" applyAlignment="1">
      <alignment horizontal="center"/>
    </xf>
    <xf numFmtId="164" fontId="25" fillId="15" borderId="55" xfId="0" applyNumberFormat="1" applyFont="1" applyFill="1" applyBorder="1" applyAlignment="1">
      <alignment horizontal="center"/>
    </xf>
    <xf numFmtId="164" fontId="24" fillId="15" borderId="16" xfId="0" applyNumberFormat="1" applyFont="1" applyFill="1" applyBorder="1" applyAlignment="1">
      <alignment horizontal="center" vertical="center" wrapText="1"/>
    </xf>
    <xf numFmtId="14" fontId="28" fillId="10" borderId="13" xfId="0" applyNumberFormat="1" applyFont="1" applyFill="1" applyBorder="1" applyAlignment="1">
      <alignment horizontal="center" readingOrder="1"/>
    </xf>
    <xf numFmtId="0" fontId="11" fillId="15" borderId="56" xfId="0" applyFont="1" applyFill="1" applyBorder="1" applyAlignment="1">
      <alignment horizontal="center"/>
    </xf>
    <xf numFmtId="0" fontId="11" fillId="15" borderId="57" xfId="0" applyFont="1" applyFill="1" applyBorder="1" applyAlignment="1">
      <alignment horizontal="center"/>
    </xf>
    <xf numFmtId="166" fontId="1" fillId="5" borderId="60" xfId="0" applyNumberFormat="1" applyFont="1" applyFill="1" applyBorder="1" applyAlignment="1">
      <alignment horizontal="center"/>
    </xf>
    <xf numFmtId="166" fontId="1" fillId="5" borderId="59" xfId="0" applyNumberFormat="1" applyFont="1" applyFill="1" applyBorder="1" applyAlignment="1">
      <alignment horizontal="center"/>
    </xf>
    <xf numFmtId="166" fontId="17" fillId="0" borderId="58" xfId="0" applyNumberFormat="1" applyFont="1" applyBorder="1"/>
    <xf numFmtId="166" fontId="17" fillId="0" borderId="10" xfId="0" applyNumberFormat="1" applyFont="1" applyBorder="1"/>
    <xf numFmtId="0" fontId="1" fillId="0" borderId="36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15" borderId="58" xfId="0" applyFont="1" applyFill="1" applyBorder="1"/>
    <xf numFmtId="0" fontId="1" fillId="15" borderId="59" xfId="0" applyFont="1" applyFill="1" applyBorder="1"/>
    <xf numFmtId="166" fontId="1" fillId="0" borderId="58" xfId="0" applyNumberFormat="1" applyFont="1" applyBorder="1"/>
    <xf numFmtId="6" fontId="1" fillId="5" borderId="58" xfId="0" applyNumberFormat="1" applyFont="1" applyFill="1" applyBorder="1"/>
    <xf numFmtId="6" fontId="1" fillId="5" borderId="59" xfId="0" applyNumberFormat="1" applyFont="1" applyFill="1" applyBorder="1"/>
    <xf numFmtId="9" fontId="1" fillId="0" borderId="36" xfId="0" applyNumberFormat="1" applyFont="1" applyBorder="1"/>
    <xf numFmtId="9" fontId="11" fillId="0" borderId="40" xfId="0" applyNumberFormat="1" applyFont="1" applyBorder="1" applyAlignment="1">
      <alignment horizontal="center"/>
    </xf>
    <xf numFmtId="0" fontId="1" fillId="0" borderId="36" xfId="0" applyFont="1" applyBorder="1"/>
    <xf numFmtId="0" fontId="1" fillId="0" borderId="40" xfId="0" applyFont="1" applyBorder="1"/>
    <xf numFmtId="0" fontId="18" fillId="17" borderId="61" xfId="0" applyFont="1" applyFill="1" applyBorder="1"/>
    <xf numFmtId="8" fontId="18" fillId="0" borderId="62" xfId="0" applyNumberFormat="1" applyFont="1" applyBorder="1"/>
    <xf numFmtId="0" fontId="18" fillId="17" borderId="62" xfId="0" applyFont="1" applyFill="1" applyBorder="1"/>
    <xf numFmtId="8" fontId="18" fillId="18" borderId="63" xfId="0" applyNumberFormat="1" applyFont="1" applyFill="1" applyBorder="1"/>
    <xf numFmtId="8" fontId="1" fillId="5" borderId="64" xfId="0" applyNumberFormat="1" applyFont="1" applyFill="1" applyBorder="1"/>
    <xf numFmtId="8" fontId="1" fillId="5" borderId="65" xfId="0" applyNumberFormat="1" applyFont="1" applyFill="1" applyBorder="1"/>
    <xf numFmtId="0" fontId="1" fillId="15" borderId="66" xfId="0" applyFont="1" applyFill="1" applyBorder="1"/>
    <xf numFmtId="166" fontId="1" fillId="0" borderId="66" xfId="0" applyNumberFormat="1" applyFont="1" applyBorder="1"/>
    <xf numFmtId="6" fontId="1" fillId="5" borderId="66" xfId="0" applyNumberFormat="1" applyFont="1" applyFill="1" applyBorder="1"/>
    <xf numFmtId="6" fontId="1" fillId="0" borderId="66" xfId="0" applyNumberFormat="1" applyFont="1" applyBorder="1"/>
    <xf numFmtId="8" fontId="1" fillId="0" borderId="66" xfId="0" applyNumberFormat="1" applyFont="1" applyBorder="1"/>
    <xf numFmtId="8" fontId="0" fillId="8" borderId="16" xfId="0" applyNumberFormat="1" applyFill="1" applyBorder="1"/>
    <xf numFmtId="166" fontId="0" fillId="8" borderId="16" xfId="0" applyNumberFormat="1" applyFill="1" applyBorder="1"/>
    <xf numFmtId="166" fontId="1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5" fillId="5" borderId="16" xfId="0" applyFont="1" applyFill="1" applyBorder="1" applyAlignment="1">
      <alignment horizontal="center"/>
    </xf>
    <xf numFmtId="164" fontId="20" fillId="5" borderId="16" xfId="0" applyNumberFormat="1" applyFont="1" applyFill="1" applyBorder="1" applyAlignment="1">
      <alignment horizontal="center"/>
    </xf>
    <xf numFmtId="164" fontId="13" fillId="5" borderId="16" xfId="0" applyNumberFormat="1" applyFont="1" applyFill="1" applyBorder="1" applyAlignment="1">
      <alignment horizontal="center"/>
    </xf>
    <xf numFmtId="0" fontId="11" fillId="15" borderId="67" xfId="0" applyFont="1" applyFill="1" applyBorder="1" applyAlignment="1">
      <alignment horizontal="center"/>
    </xf>
    <xf numFmtId="166" fontId="1" fillId="0" borderId="47" xfId="0" applyNumberFormat="1" applyFont="1" applyBorder="1" applyAlignment="1">
      <alignment horizontal="center"/>
    </xf>
    <xf numFmtId="166" fontId="1" fillId="5" borderId="68" xfId="0" applyNumberFormat="1" applyFont="1" applyFill="1" applyBorder="1" applyAlignment="1">
      <alignment horizontal="center"/>
    </xf>
    <xf numFmtId="164" fontId="1" fillId="0" borderId="51" xfId="0" applyNumberFormat="1" applyFont="1" applyBorder="1" applyAlignment="1">
      <alignment horizontal="center"/>
    </xf>
    <xf numFmtId="0" fontId="11" fillId="15" borderId="69" xfId="0" applyFont="1" applyFill="1" applyBorder="1" applyAlignment="1">
      <alignment horizontal="center"/>
    </xf>
    <xf numFmtId="166" fontId="0" fillId="8" borderId="7" xfId="0" applyNumberFormat="1" applyFill="1" applyBorder="1"/>
    <xf numFmtId="0" fontId="21" fillId="8" borderId="16" xfId="0" applyFont="1" applyFill="1" applyBorder="1" applyAlignment="1">
      <alignment horizontal="center"/>
    </xf>
    <xf numFmtId="166" fontId="1" fillId="0" borderId="58" xfId="0" applyNumberFormat="1" applyFont="1" applyBorder="1" applyAlignment="1">
      <alignment horizontal="center"/>
    </xf>
    <xf numFmtId="166" fontId="1" fillId="0" borderId="66" xfId="0" applyNumberFormat="1" applyFont="1" applyBorder="1" applyAlignment="1">
      <alignment horizontal="center"/>
    </xf>
    <xf numFmtId="164" fontId="20" fillId="0" borderId="16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/>
    <xf numFmtId="0" fontId="31" fillId="2" borderId="1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0" fontId="30" fillId="2" borderId="6" xfId="0" applyFont="1" applyFill="1" applyBorder="1" applyAlignment="1">
      <alignment horizontal="center"/>
    </xf>
    <xf numFmtId="164" fontId="30" fillId="2" borderId="11" xfId="0" applyNumberFormat="1" applyFont="1" applyFill="1" applyBorder="1" applyAlignment="1">
      <alignment horizontal="center"/>
    </xf>
    <xf numFmtId="14" fontId="30" fillId="2" borderId="12" xfId="0" applyNumberFormat="1" applyFont="1" applyFill="1" applyBorder="1" applyAlignment="1">
      <alignment horizontal="center"/>
    </xf>
    <xf numFmtId="164" fontId="30" fillId="2" borderId="12" xfId="0" applyNumberFormat="1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 wrapText="1"/>
    </xf>
    <xf numFmtId="0" fontId="30" fillId="2" borderId="13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30" fillId="0" borderId="14" xfId="0" applyFont="1" applyBorder="1" applyAlignment="1">
      <alignment horizontal="center" wrapText="1"/>
    </xf>
    <xf numFmtId="0" fontId="30" fillId="2" borderId="15" xfId="0" applyFont="1" applyFill="1" applyBorder="1" applyAlignment="1">
      <alignment horizontal="center"/>
    </xf>
    <xf numFmtId="164" fontId="30" fillId="8" borderId="12" xfId="0" applyNumberFormat="1" applyFont="1" applyFill="1" applyBorder="1" applyAlignment="1">
      <alignment horizontal="center" wrapText="1"/>
    </xf>
    <xf numFmtId="164" fontId="30" fillId="8" borderId="13" xfId="0" applyNumberFormat="1" applyFont="1" applyFill="1" applyBorder="1" applyAlignment="1">
      <alignment horizontal="center" wrapText="1"/>
    </xf>
    <xf numFmtId="0" fontId="30" fillId="8" borderId="13" xfId="0" applyFont="1" applyFill="1" applyBorder="1" applyAlignment="1">
      <alignment horizontal="center" wrapText="1"/>
    </xf>
    <xf numFmtId="0" fontId="30" fillId="10" borderId="13" xfId="0" applyFont="1" applyFill="1" applyBorder="1" applyAlignment="1">
      <alignment horizontal="center" wrapText="1"/>
    </xf>
    <xf numFmtId="0" fontId="30" fillId="10" borderId="15" xfId="0" applyFont="1" applyFill="1" applyBorder="1" applyAlignment="1">
      <alignment horizontal="center" wrapText="1"/>
    </xf>
    <xf numFmtId="0" fontId="30" fillId="11" borderId="16" xfId="0" applyFont="1" applyFill="1" applyBorder="1" applyAlignment="1">
      <alignment horizontal="center"/>
    </xf>
    <xf numFmtId="164" fontId="33" fillId="11" borderId="16" xfId="0" applyNumberFormat="1" applyFont="1" applyFill="1" applyBorder="1" applyAlignment="1">
      <alignment horizontal="center"/>
    </xf>
    <xf numFmtId="164" fontId="30" fillId="0" borderId="12" xfId="0" applyNumberFormat="1" applyFont="1" applyBorder="1" applyAlignment="1">
      <alignment horizontal="center" readingOrder="1"/>
    </xf>
    <xf numFmtId="164" fontId="30" fillId="0" borderId="13" xfId="0" applyNumberFormat="1" applyFont="1" applyBorder="1" applyAlignment="1">
      <alignment horizontal="center" readingOrder="1"/>
    </xf>
    <xf numFmtId="0" fontId="30" fillId="0" borderId="13" xfId="0" applyFont="1" applyBorder="1" applyAlignment="1">
      <alignment horizontal="center" readingOrder="1"/>
    </xf>
    <xf numFmtId="0" fontId="30" fillId="0" borderId="15" xfId="0" applyFont="1" applyBorder="1" applyAlignment="1">
      <alignment horizontal="center" readingOrder="1"/>
    </xf>
    <xf numFmtId="0" fontId="30" fillId="4" borderId="16" xfId="0" applyFont="1" applyFill="1" applyBorder="1" applyAlignment="1">
      <alignment horizontal="center"/>
    </xf>
    <xf numFmtId="164" fontId="33" fillId="4" borderId="16" xfId="0" applyNumberFormat="1" applyFont="1" applyFill="1" applyBorder="1" applyAlignment="1">
      <alignment horizontal="center"/>
    </xf>
    <xf numFmtId="164" fontId="30" fillId="10" borderId="12" xfId="0" applyNumberFormat="1" applyFont="1" applyFill="1" applyBorder="1" applyAlignment="1">
      <alignment horizontal="center"/>
    </xf>
    <xf numFmtId="164" fontId="30" fillId="10" borderId="13" xfId="0" applyNumberFormat="1" applyFont="1" applyFill="1" applyBorder="1" applyAlignment="1">
      <alignment horizontal="center"/>
    </xf>
    <xf numFmtId="0" fontId="30" fillId="10" borderId="13" xfId="0" applyFont="1" applyFill="1" applyBorder="1" applyAlignment="1">
      <alignment horizontal="center"/>
    </xf>
    <xf numFmtId="0" fontId="30" fillId="5" borderId="16" xfId="0" applyFont="1" applyFill="1" applyBorder="1" applyAlignment="1">
      <alignment horizontal="center"/>
    </xf>
    <xf numFmtId="0" fontId="33" fillId="5" borderId="16" xfId="0" applyFont="1" applyFill="1" applyBorder="1" applyAlignment="1">
      <alignment horizontal="center"/>
    </xf>
    <xf numFmtId="164" fontId="30" fillId="10" borderId="12" xfId="0" applyNumberFormat="1" applyFont="1" applyFill="1" applyBorder="1" applyAlignment="1">
      <alignment horizontal="center" wrapText="1"/>
    </xf>
    <xf numFmtId="164" fontId="30" fillId="10" borderId="13" xfId="0" applyNumberFormat="1" applyFont="1" applyFill="1" applyBorder="1" applyAlignment="1">
      <alignment horizontal="center" wrapText="1"/>
    </xf>
    <xf numFmtId="164" fontId="30" fillId="0" borderId="12" xfId="0" applyNumberFormat="1" applyFont="1" applyBorder="1" applyAlignment="1">
      <alignment horizontal="center" wrapText="1"/>
    </xf>
    <xf numFmtId="0" fontId="30" fillId="0" borderId="13" xfId="0" applyFont="1" applyBorder="1" applyAlignment="1">
      <alignment horizontal="center" wrapText="1"/>
    </xf>
    <xf numFmtId="0" fontId="30" fillId="0" borderId="15" xfId="0" applyFont="1" applyBorder="1" applyAlignment="1">
      <alignment horizontal="center" wrapText="1"/>
    </xf>
    <xf numFmtId="164" fontId="30" fillId="0" borderId="12" xfId="0" applyNumberFormat="1" applyFont="1" applyBorder="1" applyAlignment="1">
      <alignment horizontal="center"/>
    </xf>
    <xf numFmtId="164" fontId="30" fillId="0" borderId="13" xfId="0" applyNumberFormat="1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30" fillId="0" borderId="0" xfId="0" applyFont="1" applyAlignment="1">
      <alignment horizontal="center" wrapText="1"/>
    </xf>
    <xf numFmtId="164" fontId="30" fillId="10" borderId="12" xfId="0" applyNumberFormat="1" applyFont="1" applyFill="1" applyBorder="1" applyAlignment="1">
      <alignment horizontal="center" readingOrder="1"/>
    </xf>
    <xf numFmtId="164" fontId="30" fillId="10" borderId="13" xfId="0" applyNumberFormat="1" applyFont="1" applyFill="1" applyBorder="1" applyAlignment="1">
      <alignment horizontal="center" readingOrder="1"/>
    </xf>
    <xf numFmtId="0" fontId="30" fillId="10" borderId="13" xfId="0" applyFont="1" applyFill="1" applyBorder="1" applyAlignment="1">
      <alignment horizontal="center" readingOrder="1"/>
    </xf>
    <xf numFmtId="0" fontId="30" fillId="10" borderId="15" xfId="0" applyFont="1" applyFill="1" applyBorder="1" applyAlignment="1">
      <alignment horizontal="center" readingOrder="1"/>
    </xf>
    <xf numFmtId="0" fontId="30" fillId="0" borderId="0" xfId="0" applyFont="1" applyAlignment="1">
      <alignment horizontal="center" readingOrder="1"/>
    </xf>
    <xf numFmtId="0" fontId="30" fillId="10" borderId="15" xfId="0" applyFont="1" applyFill="1" applyBorder="1" applyAlignment="1">
      <alignment horizontal="center"/>
    </xf>
    <xf numFmtId="164" fontId="30" fillId="10" borderId="17" xfId="0" applyNumberFormat="1" applyFont="1" applyFill="1" applyBorder="1" applyAlignment="1">
      <alignment horizontal="center"/>
    </xf>
    <xf numFmtId="0" fontId="30" fillId="10" borderId="18" xfId="0" applyFont="1" applyFill="1" applyBorder="1" applyAlignment="1">
      <alignment horizontal="center"/>
    </xf>
    <xf numFmtId="0" fontId="30" fillId="10" borderId="12" xfId="0" applyFont="1" applyFill="1" applyBorder="1" applyAlignment="1">
      <alignment horizontal="center"/>
    </xf>
    <xf numFmtId="164" fontId="30" fillId="0" borderId="17" xfId="0" applyNumberFormat="1" applyFont="1" applyBorder="1" applyAlignment="1">
      <alignment horizontal="center" wrapText="1"/>
    </xf>
    <xf numFmtId="0" fontId="30" fillId="0" borderId="18" xfId="0" applyFont="1" applyBorder="1" applyAlignment="1">
      <alignment horizontal="center" wrapText="1"/>
    </xf>
    <xf numFmtId="0" fontId="30" fillId="0" borderId="19" xfId="0" applyFont="1" applyBorder="1" applyAlignment="1">
      <alignment horizontal="center" wrapText="1"/>
    </xf>
    <xf numFmtId="164" fontId="30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 wrapText="1"/>
    </xf>
    <xf numFmtId="0" fontId="30" fillId="0" borderId="20" xfId="0" applyFont="1" applyBorder="1" applyAlignment="1">
      <alignment horizontal="center" wrapText="1"/>
    </xf>
    <xf numFmtId="164" fontId="30" fillId="0" borderId="18" xfId="0" applyNumberFormat="1" applyFont="1" applyBorder="1" applyAlignment="1">
      <alignment horizontal="center" wrapText="1"/>
    </xf>
    <xf numFmtId="164" fontId="30" fillId="0" borderId="20" xfId="0" applyNumberFormat="1" applyFont="1" applyBorder="1" applyAlignment="1">
      <alignment horizontal="center" wrapText="1"/>
    </xf>
    <xf numFmtId="0" fontId="30" fillId="0" borderId="53" xfId="0" applyFont="1" applyBorder="1" applyAlignment="1">
      <alignment horizontal="center" wrapText="1"/>
    </xf>
    <xf numFmtId="164" fontId="30" fillId="0" borderId="14" xfId="0" applyNumberFormat="1" applyFont="1" applyBorder="1" applyAlignment="1">
      <alignment horizontal="center" wrapText="1"/>
    </xf>
    <xf numFmtId="0" fontId="30" fillId="0" borderId="16" xfId="0" applyFont="1" applyBorder="1" applyAlignment="1">
      <alignment horizontal="center"/>
    </xf>
    <xf numFmtId="14" fontId="30" fillId="0" borderId="0" xfId="0" applyNumberFormat="1" applyFont="1" applyAlignment="1">
      <alignment horizontal="center"/>
    </xf>
    <xf numFmtId="0" fontId="30" fillId="11" borderId="16" xfId="0" applyFont="1" applyFill="1" applyBorder="1" applyAlignment="1">
      <alignment horizontal="center" vertical="center"/>
    </xf>
    <xf numFmtId="164" fontId="33" fillId="11" borderId="16" xfId="0" applyNumberFormat="1" applyFont="1" applyFill="1" applyBorder="1" applyAlignment="1">
      <alignment horizontal="center" vertical="center"/>
    </xf>
    <xf numFmtId="0" fontId="30" fillId="0" borderId="30" xfId="0" applyFont="1" applyBorder="1" applyAlignment="1">
      <alignment horizontal="center" wrapText="1"/>
    </xf>
    <xf numFmtId="164" fontId="33" fillId="4" borderId="16" xfId="0" applyNumberFormat="1" applyFont="1" applyFill="1" applyBorder="1" applyAlignment="1">
      <alignment horizontal="center" vertical="center"/>
    </xf>
    <xf numFmtId="0" fontId="30" fillId="5" borderId="16" xfId="0" applyFont="1" applyFill="1" applyBorder="1" applyAlignment="1">
      <alignment horizontal="center" vertical="center"/>
    </xf>
    <xf numFmtId="0" fontId="33" fillId="5" borderId="16" xfId="0" applyFont="1" applyFill="1" applyBorder="1" applyAlignment="1">
      <alignment horizontal="center" vertical="center"/>
    </xf>
    <xf numFmtId="6" fontId="30" fillId="0" borderId="0" xfId="0" applyNumberFormat="1" applyFont="1" applyAlignment="1">
      <alignment horizontal="center"/>
    </xf>
    <xf numFmtId="164" fontId="30" fillId="0" borderId="23" xfId="0" applyNumberFormat="1" applyFont="1" applyBorder="1" applyAlignment="1">
      <alignment horizontal="center" wrapText="1"/>
    </xf>
    <xf numFmtId="164" fontId="30" fillId="0" borderId="30" xfId="0" applyNumberFormat="1" applyFont="1" applyBorder="1" applyAlignment="1">
      <alignment horizontal="center" wrapText="1"/>
    </xf>
    <xf numFmtId="0" fontId="30" fillId="0" borderId="31" xfId="0" applyFont="1" applyBorder="1" applyAlignment="1">
      <alignment horizontal="center" wrapText="1"/>
    </xf>
    <xf numFmtId="14" fontId="30" fillId="0" borderId="16" xfId="0" applyNumberFormat="1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30" fillId="10" borderId="0" xfId="0" applyFont="1" applyFill="1" applyAlignment="1">
      <alignment horizontal="center"/>
    </xf>
    <xf numFmtId="164" fontId="30" fillId="0" borderId="11" xfId="0" applyNumberFormat="1" applyFont="1" applyBorder="1" applyAlignment="1">
      <alignment horizontal="center" readingOrder="1"/>
    </xf>
    <xf numFmtId="164" fontId="30" fillId="10" borderId="11" xfId="0" applyNumberFormat="1" applyFont="1" applyFill="1" applyBorder="1" applyAlignment="1">
      <alignment horizontal="center"/>
    </xf>
    <xf numFmtId="164" fontId="30" fillId="10" borderId="11" xfId="0" applyNumberFormat="1" applyFont="1" applyFill="1" applyBorder="1" applyAlignment="1">
      <alignment horizontal="center" wrapText="1"/>
    </xf>
    <xf numFmtId="164" fontId="30" fillId="0" borderId="11" xfId="0" applyNumberFormat="1" applyFont="1" applyBorder="1" applyAlignment="1">
      <alignment horizontal="center" wrapText="1"/>
    </xf>
    <xf numFmtId="0" fontId="30" fillId="2" borderId="17" xfId="0" applyFont="1" applyFill="1" applyBorder="1" applyAlignment="1">
      <alignment horizontal="center"/>
    </xf>
    <xf numFmtId="0" fontId="30" fillId="10" borderId="17" xfId="0" applyFont="1" applyFill="1" applyBorder="1" applyAlignment="1">
      <alignment horizontal="center"/>
    </xf>
    <xf numFmtId="3" fontId="30" fillId="0" borderId="17" xfId="0" applyNumberFormat="1" applyFont="1" applyBorder="1" applyAlignment="1">
      <alignment horizontal="center" wrapText="1"/>
    </xf>
    <xf numFmtId="164" fontId="30" fillId="10" borderId="36" xfId="0" applyNumberFormat="1" applyFont="1" applyFill="1" applyBorder="1" applyAlignment="1">
      <alignment horizontal="center"/>
    </xf>
    <xf numFmtId="164" fontId="30" fillId="0" borderId="36" xfId="0" applyNumberFormat="1" applyFont="1" applyBorder="1" applyAlignment="1">
      <alignment horizontal="center" wrapText="1"/>
    </xf>
    <xf numFmtId="164" fontId="30" fillId="10" borderId="36" xfId="0" applyNumberFormat="1" applyFont="1" applyFill="1" applyBorder="1" applyAlignment="1">
      <alignment horizontal="center" wrapText="1"/>
    </xf>
    <xf numFmtId="164" fontId="30" fillId="0" borderId="42" xfId="0" applyNumberFormat="1" applyFont="1" applyBorder="1" applyAlignment="1">
      <alignment horizontal="center"/>
    </xf>
    <xf numFmtId="0" fontId="30" fillId="2" borderId="43" xfId="0" applyFont="1" applyFill="1" applyBorder="1" applyAlignment="1">
      <alignment horizontal="center"/>
    </xf>
    <xf numFmtId="164" fontId="34" fillId="0" borderId="0" xfId="0" applyNumberFormat="1" applyFont="1" applyAlignment="1">
      <alignment horizontal="center"/>
    </xf>
    <xf numFmtId="14" fontId="35" fillId="16" borderId="41" xfId="0" applyNumberFormat="1" applyFont="1" applyFill="1" applyBorder="1" applyAlignment="1">
      <alignment horizontal="center"/>
    </xf>
    <xf numFmtId="166" fontId="30" fillId="0" borderId="0" xfId="0" applyNumberFormat="1" applyFont="1" applyAlignment="1">
      <alignment horizontal="center"/>
    </xf>
    <xf numFmtId="14" fontId="35" fillId="0" borderId="0" xfId="0" applyNumberFormat="1" applyFont="1" applyAlignment="1">
      <alignment horizontal="center"/>
    </xf>
    <xf numFmtId="166" fontId="30" fillId="0" borderId="16" xfId="0" applyNumberFormat="1" applyFont="1" applyBorder="1" applyAlignment="1">
      <alignment horizontal="center"/>
    </xf>
    <xf numFmtId="166" fontId="30" fillId="8" borderId="16" xfId="0" applyNumberFormat="1" applyFont="1" applyFill="1" applyBorder="1"/>
    <xf numFmtId="14" fontId="35" fillId="16" borderId="47" xfId="0" applyNumberFormat="1" applyFont="1" applyFill="1" applyBorder="1" applyAlignment="1">
      <alignment horizontal="center"/>
    </xf>
    <xf numFmtId="14" fontId="35" fillId="16" borderId="48" xfId="0" applyNumberFormat="1" applyFont="1" applyFill="1" applyBorder="1" applyAlignment="1">
      <alignment horizontal="center"/>
    </xf>
    <xf numFmtId="14" fontId="35" fillId="5" borderId="49" xfId="0" applyNumberFormat="1" applyFont="1" applyFill="1" applyBorder="1" applyAlignment="1">
      <alignment horizontal="center"/>
    </xf>
    <xf numFmtId="166" fontId="30" fillId="5" borderId="68" xfId="0" applyNumberFormat="1" applyFont="1" applyFill="1" applyBorder="1" applyAlignment="1">
      <alignment horizontal="center"/>
    </xf>
    <xf numFmtId="166" fontId="30" fillId="5" borderId="16" xfId="0" applyNumberFormat="1" applyFont="1" applyFill="1" applyBorder="1" applyAlignment="1">
      <alignment horizontal="center"/>
    </xf>
    <xf numFmtId="166" fontId="36" fillId="0" borderId="7" xfId="0" applyNumberFormat="1" applyFont="1" applyBorder="1"/>
    <xf numFmtId="164" fontId="36" fillId="0" borderId="0" xfId="0" applyNumberFormat="1" applyFont="1"/>
    <xf numFmtId="166" fontId="36" fillId="0" borderId="16" xfId="0" applyNumberFormat="1" applyFont="1" applyBorder="1"/>
    <xf numFmtId="0" fontId="30" fillId="15" borderId="16" xfId="0" applyFont="1" applyFill="1" applyBorder="1"/>
    <xf numFmtId="0" fontId="30" fillId="15" borderId="66" xfId="0" applyFont="1" applyFill="1" applyBorder="1"/>
    <xf numFmtId="166" fontId="30" fillId="0" borderId="16" xfId="0" applyNumberFormat="1" applyFont="1" applyBorder="1"/>
    <xf numFmtId="166" fontId="30" fillId="0" borderId="66" xfId="0" applyNumberFormat="1" applyFont="1" applyBorder="1"/>
    <xf numFmtId="0" fontId="30" fillId="5" borderId="16" xfId="0" applyFont="1" applyFill="1" applyBorder="1"/>
    <xf numFmtId="6" fontId="30" fillId="5" borderId="16" xfId="0" applyNumberFormat="1" applyFont="1" applyFill="1" applyBorder="1"/>
    <xf numFmtId="6" fontId="30" fillId="5" borderId="66" xfId="0" applyNumberFormat="1" applyFont="1" applyFill="1" applyBorder="1"/>
    <xf numFmtId="9" fontId="30" fillId="0" borderId="0" xfId="0" applyNumberFormat="1" applyFont="1"/>
    <xf numFmtId="0" fontId="30" fillId="0" borderId="16" xfId="0" applyFont="1" applyBorder="1"/>
    <xf numFmtId="8" fontId="30" fillId="0" borderId="16" xfId="0" applyNumberFormat="1" applyFont="1" applyBorder="1"/>
    <xf numFmtId="6" fontId="30" fillId="0" borderId="16" xfId="0" applyNumberFormat="1" applyFont="1" applyBorder="1"/>
    <xf numFmtId="6" fontId="30" fillId="0" borderId="66" xfId="0" applyNumberFormat="1" applyFont="1" applyBorder="1"/>
    <xf numFmtId="8" fontId="30" fillId="0" borderId="66" xfId="0" applyNumberFormat="1" applyFont="1" applyBorder="1"/>
    <xf numFmtId="8" fontId="30" fillId="8" borderId="16" xfId="0" applyNumberFormat="1" applyFont="1" applyFill="1" applyBorder="1"/>
    <xf numFmtId="8" fontId="30" fillId="5" borderId="16" xfId="0" applyNumberFormat="1" applyFont="1" applyFill="1" applyBorder="1"/>
    <xf numFmtId="0" fontId="30" fillId="2" borderId="40" xfId="0" applyFont="1" applyFill="1" applyBorder="1" applyAlignment="1">
      <alignment horizontal="center"/>
    </xf>
    <xf numFmtId="14" fontId="35" fillId="15" borderId="48" xfId="0" applyNumberFormat="1" applyFont="1" applyFill="1" applyBorder="1" applyAlignment="1">
      <alignment horizontal="center"/>
    </xf>
    <xf numFmtId="166" fontId="30" fillId="15" borderId="16" xfId="0" applyNumberFormat="1" applyFont="1" applyFill="1" applyBorder="1" applyAlignment="1">
      <alignment horizontal="center"/>
    </xf>
    <xf numFmtId="164" fontId="37" fillId="5" borderId="16" xfId="0" applyNumberFormat="1" applyFont="1" applyFill="1" applyBorder="1" applyAlignment="1">
      <alignment horizontal="center"/>
    </xf>
    <xf numFmtId="0" fontId="30" fillId="2" borderId="72" xfId="0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66" fontId="30" fillId="0" borderId="47" xfId="0" applyNumberFormat="1" applyFont="1" applyBorder="1" applyAlignment="1">
      <alignment horizontal="center"/>
    </xf>
    <xf numFmtId="166" fontId="0" fillId="0" borderId="47" xfId="0" applyNumberFormat="1" applyBorder="1" applyAlignment="1">
      <alignment horizontal="center"/>
    </xf>
    <xf numFmtId="164" fontId="34" fillId="5" borderId="16" xfId="0" applyNumberFormat="1" applyFont="1" applyFill="1" applyBorder="1" applyAlignment="1">
      <alignment horizontal="center"/>
    </xf>
    <xf numFmtId="164" fontId="34" fillId="0" borderId="16" xfId="0" applyNumberFormat="1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21" fillId="0" borderId="0" xfId="0" applyNumberFormat="1" applyFont="1" applyAlignment="1">
      <alignment horizontal="center"/>
    </xf>
    <xf numFmtId="3" fontId="21" fillId="0" borderId="40" xfId="0" applyNumberFormat="1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166" fontId="30" fillId="5" borderId="16" xfId="0" applyNumberFormat="1" applyFont="1" applyFill="1" applyBorder="1"/>
    <xf numFmtId="164" fontId="0" fillId="0" borderId="11" xfId="0" applyNumberFormat="1" applyBorder="1" applyAlignment="1">
      <alignment horizontal="center"/>
    </xf>
    <xf numFmtId="164" fontId="28" fillId="0" borderId="11" xfId="0" applyNumberFormat="1" applyFont="1" applyBorder="1" applyAlignment="1">
      <alignment horizontal="center" readingOrder="1"/>
    </xf>
    <xf numFmtId="0" fontId="0" fillId="0" borderId="17" xfId="0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4" fontId="0" fillId="0" borderId="66" xfId="0" applyNumberFormat="1" applyBorder="1" applyAlignment="1">
      <alignment horizontal="center"/>
    </xf>
    <xf numFmtId="164" fontId="21" fillId="11" borderId="41" xfId="0" applyNumberFormat="1" applyFont="1" applyFill="1" applyBorder="1" applyAlignment="1">
      <alignment horizontal="center"/>
    </xf>
    <xf numFmtId="1" fontId="21" fillId="14" borderId="10" xfId="0" applyNumberFormat="1" applyFont="1" applyFill="1" applyBorder="1" applyAlignment="1">
      <alignment horizontal="center"/>
    </xf>
    <xf numFmtId="3" fontId="21" fillId="5" borderId="8" xfId="0" applyNumberFormat="1" applyFont="1" applyFill="1" applyBorder="1" applyAlignment="1">
      <alignment horizontal="center"/>
    </xf>
    <xf numFmtId="3" fontId="21" fillId="7" borderId="8" xfId="0" applyNumberFormat="1" applyFon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30" fillId="8" borderId="16" xfId="0" applyFont="1" applyFill="1" applyBorder="1"/>
    <xf numFmtId="164" fontId="30" fillId="15" borderId="16" xfId="0" applyNumberFormat="1" applyFont="1" applyFill="1" applyBorder="1"/>
    <xf numFmtId="164" fontId="0" fillId="15" borderId="16" xfId="0" applyNumberFormat="1" applyFill="1" applyBorder="1"/>
    <xf numFmtId="164" fontId="37" fillId="0" borderId="16" xfId="0" applyNumberFormat="1" applyFont="1" applyBorder="1" applyAlignment="1">
      <alignment horizontal="center"/>
    </xf>
    <xf numFmtId="166" fontId="30" fillId="0" borderId="45" xfId="0" applyNumberFormat="1" applyFont="1" applyBorder="1" applyAlignment="1">
      <alignment horizontal="center"/>
    </xf>
    <xf numFmtId="166" fontId="30" fillId="15" borderId="45" xfId="0" applyNumberFormat="1" applyFont="1" applyFill="1" applyBorder="1" applyAlignment="1">
      <alignment horizontal="center"/>
    </xf>
    <xf numFmtId="166" fontId="30" fillId="5" borderId="45" xfId="0" applyNumberFormat="1" applyFont="1" applyFill="1" applyBorder="1" applyAlignment="1">
      <alignment horizontal="center"/>
    </xf>
    <xf numFmtId="0" fontId="26" fillId="20" borderId="5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24" fillId="5" borderId="66" xfId="0" applyFont="1" applyFill="1" applyBorder="1" applyAlignment="1">
      <alignment horizontal="center" vertical="center" wrapText="1"/>
    </xf>
    <xf numFmtId="0" fontId="27" fillId="20" borderId="16" xfId="0" applyFont="1" applyFill="1" applyBorder="1" applyAlignment="1">
      <alignment horizontal="center"/>
    </xf>
    <xf numFmtId="0" fontId="24" fillId="6" borderId="16" xfId="0" applyFont="1" applyFill="1" applyBorder="1" applyAlignment="1">
      <alignment horizontal="center" vertical="center" wrapText="1"/>
    </xf>
    <xf numFmtId="0" fontId="24" fillId="7" borderId="29" xfId="0" applyFont="1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28" fillId="0" borderId="0" xfId="0" applyFont="1" applyAlignment="1">
      <alignment horizontal="center" wrapText="1"/>
    </xf>
    <xf numFmtId="0" fontId="0" fillId="0" borderId="0" xfId="0" applyAlignment="1">
      <alignment horizontal="center" readingOrder="1"/>
    </xf>
    <xf numFmtId="164" fontId="0" fillId="0" borderId="0" xfId="0" applyNumberFormat="1" applyAlignment="1">
      <alignment horizontal="center"/>
    </xf>
    <xf numFmtId="164" fontId="21" fillId="0" borderId="0" xfId="0" applyNumberFormat="1" applyFont="1" applyAlignment="1">
      <alignment vertical="center"/>
    </xf>
    <xf numFmtId="164" fontId="21" fillId="0" borderId="0" xfId="0" applyNumberFormat="1" applyFont="1"/>
    <xf numFmtId="0" fontId="21" fillId="0" borderId="0" xfId="0" applyFont="1" applyAlignment="1">
      <alignment horizontal="center"/>
    </xf>
    <xf numFmtId="164" fontId="29" fillId="0" borderId="0" xfId="0" applyNumberFormat="1" applyFont="1" applyAlignment="1">
      <alignment horizontal="center"/>
    </xf>
    <xf numFmtId="0" fontId="0" fillId="11" borderId="16" xfId="0" applyFill="1" applyBorder="1" applyAlignment="1">
      <alignment horizontal="center" vertical="center"/>
    </xf>
    <xf numFmtId="6" fontId="0" fillId="0" borderId="0" xfId="0" applyNumberFormat="1" applyAlignment="1">
      <alignment horizontal="center"/>
    </xf>
    <xf numFmtId="0" fontId="0" fillId="5" borderId="16" xfId="0" applyFill="1" applyBorder="1" applyAlignment="1">
      <alignment horizontal="center" vertical="center"/>
    </xf>
    <xf numFmtId="0" fontId="0" fillId="2" borderId="7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1" fillId="15" borderId="16" xfId="0" applyFont="1" applyFill="1" applyBorder="1" applyAlignment="1">
      <alignment horizontal="center"/>
    </xf>
    <xf numFmtId="0" fontId="21" fillId="15" borderId="66" xfId="0" applyFont="1" applyFill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15" borderId="67" xfId="0" applyFont="1" applyFill="1" applyBorder="1" applyAlignment="1">
      <alignment horizontal="center"/>
    </xf>
    <xf numFmtId="0" fontId="24" fillId="5" borderId="16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4" fontId="35" fillId="16" borderId="16" xfId="0" applyNumberFormat="1" applyFont="1" applyFill="1" applyBorder="1" applyAlignment="1">
      <alignment horizontal="center"/>
    </xf>
    <xf numFmtId="8" fontId="28" fillId="0" borderId="16" xfId="0" applyNumberFormat="1" applyFont="1" applyBorder="1"/>
    <xf numFmtId="8" fontId="22" fillId="0" borderId="16" xfId="0" applyNumberFormat="1" applyFont="1" applyBorder="1"/>
    <xf numFmtId="166" fontId="0" fillId="0" borderId="16" xfId="0" applyNumberFormat="1" applyBorder="1" applyAlignment="1">
      <alignment horizontal="center"/>
    </xf>
    <xf numFmtId="166" fontId="28" fillId="0" borderId="66" xfId="0" applyNumberFormat="1" applyFont="1" applyBorder="1"/>
    <xf numFmtId="14" fontId="35" fillId="15" borderId="16" xfId="0" applyNumberFormat="1" applyFont="1" applyFill="1" applyBorder="1" applyAlignment="1">
      <alignment horizontal="center"/>
    </xf>
    <xf numFmtId="8" fontId="28" fillId="15" borderId="16" xfId="0" applyNumberFormat="1" applyFont="1" applyFill="1" applyBorder="1"/>
    <xf numFmtId="8" fontId="22" fillId="15" borderId="16" xfId="0" applyNumberFormat="1" applyFont="1" applyFill="1" applyBorder="1"/>
    <xf numFmtId="166" fontId="0" fillId="15" borderId="16" xfId="0" applyNumberFormat="1" applyFill="1" applyBorder="1" applyAlignment="1">
      <alignment horizontal="center"/>
    </xf>
    <xf numFmtId="166" fontId="28" fillId="15" borderId="66" xfId="0" applyNumberFormat="1" applyFont="1" applyFill="1" applyBorder="1"/>
    <xf numFmtId="164" fontId="22" fillId="0" borderId="51" xfId="0" applyNumberFormat="1" applyFont="1" applyBorder="1" applyAlignment="1">
      <alignment horizontal="center"/>
    </xf>
    <xf numFmtId="14" fontId="35" fillId="5" borderId="16" xfId="0" applyNumberFormat="1" applyFont="1" applyFill="1" applyBorder="1" applyAlignment="1">
      <alignment horizontal="center"/>
    </xf>
    <xf numFmtId="166" fontId="0" fillId="5" borderId="16" xfId="0" applyNumberFormat="1" applyFill="1" applyBorder="1"/>
    <xf numFmtId="166" fontId="0" fillId="5" borderId="68" xfId="0" applyNumberFormat="1" applyFill="1" applyBorder="1" applyAlignment="1">
      <alignment horizontal="center"/>
    </xf>
    <xf numFmtId="0" fontId="0" fillId="15" borderId="16" xfId="0" applyFill="1" applyBorder="1"/>
    <xf numFmtId="0" fontId="0" fillId="15" borderId="66" xfId="0" applyFill="1" applyBorder="1"/>
    <xf numFmtId="166" fontId="0" fillId="0" borderId="16" xfId="0" applyNumberFormat="1" applyBorder="1"/>
    <xf numFmtId="166" fontId="0" fillId="0" borderId="66" xfId="0" applyNumberFormat="1" applyBorder="1"/>
    <xf numFmtId="0" fontId="0" fillId="5" borderId="16" xfId="0" applyFill="1" applyBorder="1"/>
    <xf numFmtId="6" fontId="0" fillId="5" borderId="16" xfId="0" applyNumberFormat="1" applyFill="1" applyBorder="1"/>
    <xf numFmtId="6" fontId="0" fillId="5" borderId="66" xfId="0" applyNumberFormat="1" applyFill="1" applyBorder="1"/>
    <xf numFmtId="9" fontId="21" fillId="0" borderId="0" xfId="0" applyNumberFormat="1" applyFont="1"/>
    <xf numFmtId="0" fontId="28" fillId="17" borderId="16" xfId="0" applyFont="1" applyFill="1" applyBorder="1"/>
    <xf numFmtId="0" fontId="0" fillId="0" borderId="16" xfId="0" applyBorder="1"/>
    <xf numFmtId="8" fontId="0" fillId="0" borderId="16" xfId="0" applyNumberFormat="1" applyBorder="1"/>
    <xf numFmtId="6" fontId="0" fillId="0" borderId="16" xfId="0" applyNumberFormat="1" applyBorder="1"/>
    <xf numFmtId="6" fontId="0" fillId="0" borderId="66" xfId="0" applyNumberFormat="1" applyBorder="1"/>
    <xf numFmtId="8" fontId="0" fillId="0" borderId="66" xfId="0" applyNumberFormat="1" applyBorder="1"/>
    <xf numFmtId="8" fontId="0" fillId="5" borderId="16" xfId="0" applyNumberFormat="1" applyFill="1" applyBorder="1"/>
    <xf numFmtId="8" fontId="28" fillId="18" borderId="16" xfId="0" applyNumberFormat="1" applyFont="1" applyFill="1" applyBorder="1"/>
    <xf numFmtId="9" fontId="0" fillId="0" borderId="0" xfId="0" applyNumberFormat="1"/>
    <xf numFmtId="9" fontId="21" fillId="0" borderId="0" xfId="0" applyNumberFormat="1" applyFont="1" applyAlignment="1">
      <alignment horizontal="center"/>
    </xf>
    <xf numFmtId="3" fontId="0" fillId="5" borderId="25" xfId="0" applyNumberFormat="1" applyFill="1" applyBorder="1" applyAlignment="1">
      <alignment horizontal="center"/>
    </xf>
    <xf numFmtId="0" fontId="0" fillId="8" borderId="17" xfId="0" applyFill="1" applyBorder="1" applyAlignment="1">
      <alignment horizontal="center" wrapText="1"/>
    </xf>
    <xf numFmtId="0" fontId="0" fillId="10" borderId="40" xfId="0" applyFill="1" applyBorder="1" applyAlignment="1">
      <alignment horizontal="center" wrapText="1"/>
    </xf>
    <xf numFmtId="3" fontId="0" fillId="5" borderId="22" xfId="0" applyNumberFormat="1" applyFill="1" applyBorder="1" applyAlignment="1">
      <alignment horizontal="center"/>
    </xf>
    <xf numFmtId="164" fontId="0" fillId="2" borderId="16" xfId="0" applyNumberFormat="1" applyFill="1" applyBorder="1" applyAlignment="1">
      <alignment horizontal="center"/>
    </xf>
    <xf numFmtId="14" fontId="0" fillId="2" borderId="16" xfId="0" applyNumberFormat="1" applyFill="1" applyBorder="1" applyAlignment="1">
      <alignment horizontal="center"/>
    </xf>
    <xf numFmtId="0" fontId="0" fillId="5" borderId="45" xfId="0" applyFill="1" applyBorder="1"/>
    <xf numFmtId="164" fontId="28" fillId="10" borderId="71" xfId="0" applyNumberFormat="1" applyFont="1" applyFill="1" applyBorder="1" applyAlignment="1">
      <alignment horizontal="center" wrapText="1"/>
    </xf>
    <xf numFmtId="0" fontId="28" fillId="10" borderId="71" xfId="0" applyFont="1" applyFill="1" applyBorder="1" applyAlignment="1">
      <alignment horizontal="center" wrapText="1"/>
    </xf>
    <xf numFmtId="0" fontId="28" fillId="10" borderId="70" xfId="0" applyFont="1" applyFill="1" applyBorder="1" applyAlignment="1">
      <alignment horizontal="center" wrapText="1"/>
    </xf>
    <xf numFmtId="3" fontId="21" fillId="5" borderId="23" xfId="0" applyNumberFormat="1" applyFont="1" applyFill="1" applyBorder="1" applyAlignment="1">
      <alignment horizontal="center"/>
    </xf>
    <xf numFmtId="14" fontId="35" fillId="16" borderId="66" xfId="0" applyNumberFormat="1" applyFont="1" applyFill="1" applyBorder="1" applyAlignment="1">
      <alignment horizontal="center"/>
    </xf>
    <xf numFmtId="14" fontId="35" fillId="15" borderId="66" xfId="0" applyNumberFormat="1" applyFont="1" applyFill="1" applyBorder="1" applyAlignment="1">
      <alignment horizontal="center"/>
    </xf>
    <xf numFmtId="0" fontId="21" fillId="8" borderId="45" xfId="0" applyFont="1" applyFill="1" applyBorder="1" applyAlignment="1">
      <alignment horizontal="center"/>
    </xf>
    <xf numFmtId="166" fontId="0" fillId="8" borderId="45" xfId="0" applyNumberFormat="1" applyFill="1" applyBorder="1"/>
    <xf numFmtId="166" fontId="0" fillId="5" borderId="28" xfId="0" applyNumberFormat="1" applyFill="1" applyBorder="1" applyAlignment="1">
      <alignment horizontal="center"/>
    </xf>
    <xf numFmtId="166" fontId="0" fillId="5" borderId="7" xfId="0" applyNumberFormat="1" applyFill="1" applyBorder="1" applyAlignment="1">
      <alignment horizontal="center"/>
    </xf>
    <xf numFmtId="165" fontId="0" fillId="5" borderId="7" xfId="0" applyNumberFormat="1" applyFill="1" applyBorder="1"/>
    <xf numFmtId="166" fontId="28" fillId="0" borderId="16" xfId="0" applyNumberFormat="1" applyFont="1" applyBorder="1"/>
    <xf numFmtId="166" fontId="28" fillId="15" borderId="16" xfId="0" applyNumberFormat="1" applyFont="1" applyFill="1" applyBorder="1"/>
    <xf numFmtId="166" fontId="0" fillId="21" borderId="16" xfId="0" applyNumberFormat="1" applyFill="1" applyBorder="1" applyAlignment="1">
      <alignment horizontal="center"/>
    </xf>
    <xf numFmtId="164" fontId="36" fillId="2" borderId="7" xfId="0" applyNumberFormat="1" applyFont="1" applyFill="1" applyBorder="1" applyAlignment="1">
      <alignment horizontal="center"/>
    </xf>
    <xf numFmtId="14" fontId="36" fillId="2" borderId="7" xfId="0" applyNumberFormat="1" applyFont="1" applyFill="1" applyBorder="1" applyAlignment="1">
      <alignment horizontal="center"/>
    </xf>
    <xf numFmtId="164" fontId="36" fillId="15" borderId="16" xfId="0" applyNumberFormat="1" applyFont="1" applyFill="1" applyBorder="1"/>
    <xf numFmtId="0" fontId="36" fillId="0" borderId="0" xfId="0" applyFont="1"/>
    <xf numFmtId="164" fontId="36" fillId="2" borderId="16" xfId="0" applyNumberFormat="1" applyFont="1" applyFill="1" applyBorder="1" applyAlignment="1">
      <alignment horizontal="center"/>
    </xf>
    <xf numFmtId="14" fontId="36" fillId="2" borderId="16" xfId="0" applyNumberFormat="1" applyFont="1" applyFill="1" applyBorder="1" applyAlignment="1">
      <alignment horizontal="center"/>
    </xf>
    <xf numFmtId="14" fontId="0" fillId="2" borderId="0" xfId="0" applyNumberFormat="1" applyFill="1" applyAlignment="1">
      <alignment horizontal="center"/>
    </xf>
    <xf numFmtId="164" fontId="28" fillId="15" borderId="16" xfId="0" applyNumberFormat="1" applyFont="1" applyFill="1" applyBorder="1"/>
    <xf numFmtId="8" fontId="38" fillId="0" borderId="16" xfId="0" applyNumberFormat="1" applyFont="1" applyBorder="1"/>
    <xf numFmtId="166" fontId="0" fillId="5" borderId="16" xfId="0" applyNumberFormat="1" applyFill="1" applyBorder="1" applyAlignment="1">
      <alignment horizontal="center"/>
    </xf>
    <xf numFmtId="0" fontId="25" fillId="22" borderId="5" xfId="0" applyFont="1" applyFill="1" applyBorder="1" applyAlignment="1">
      <alignment horizontal="center"/>
    </xf>
    <xf numFmtId="0" fontId="24" fillId="22" borderId="29" xfId="0" applyFont="1" applyFill="1" applyBorder="1" applyAlignment="1">
      <alignment horizontal="center" vertical="center" wrapText="1"/>
    </xf>
    <xf numFmtId="9" fontId="0" fillId="0" borderId="15" xfId="0" applyNumberFormat="1" applyBorder="1" applyAlignment="1">
      <alignment horizontal="center" readingOrder="1"/>
    </xf>
    <xf numFmtId="9" fontId="0" fillId="10" borderId="15" xfId="0" applyNumberFormat="1" applyFill="1" applyBorder="1" applyAlignment="1">
      <alignment horizontal="center"/>
    </xf>
    <xf numFmtId="0" fontId="0" fillId="22" borderId="16" xfId="0" applyFill="1" applyBorder="1" applyAlignment="1">
      <alignment horizontal="center"/>
    </xf>
    <xf numFmtId="9" fontId="33" fillId="22" borderId="16" xfId="0" applyNumberFormat="1" applyFont="1" applyFill="1" applyBorder="1" applyAlignment="1">
      <alignment horizontal="center"/>
    </xf>
    <xf numFmtId="0" fontId="0" fillId="0" borderId="73" xfId="0" applyBorder="1" applyAlignment="1">
      <alignment horizontal="center"/>
    </xf>
    <xf numFmtId="9" fontId="0" fillId="0" borderId="15" xfId="0" applyNumberFormat="1" applyBorder="1" applyAlignment="1">
      <alignment horizontal="center" wrapText="1"/>
    </xf>
    <xf numFmtId="9" fontId="0" fillId="2" borderId="40" xfId="0" applyNumberFormat="1" applyFill="1" applyBorder="1" applyAlignment="1">
      <alignment horizontal="center"/>
    </xf>
    <xf numFmtId="9" fontId="0" fillId="10" borderId="40" xfId="0" applyNumberFormat="1" applyFill="1" applyBorder="1" applyAlignment="1">
      <alignment horizontal="center" wrapText="1"/>
    </xf>
    <xf numFmtId="9" fontId="0" fillId="10" borderId="15" xfId="0" applyNumberFormat="1" applyFill="1" applyBorder="1" applyAlignment="1">
      <alignment horizontal="center" wrapText="1"/>
    </xf>
    <xf numFmtId="9" fontId="28" fillId="10" borderId="15" xfId="0" applyNumberFormat="1" applyFont="1" applyFill="1" applyBorder="1" applyAlignment="1">
      <alignment horizontal="center" readingOrder="1"/>
    </xf>
    <xf numFmtId="9" fontId="28" fillId="0" borderId="15" xfId="0" applyNumberFormat="1" applyFont="1" applyBorder="1" applyAlignment="1">
      <alignment horizontal="center" wrapText="1"/>
    </xf>
    <xf numFmtId="9" fontId="28" fillId="10" borderId="15" xfId="0" applyNumberFormat="1" applyFont="1" applyFill="1" applyBorder="1" applyAlignment="1">
      <alignment horizontal="center" wrapText="1"/>
    </xf>
    <xf numFmtId="9" fontId="28" fillId="0" borderId="15" xfId="0" applyNumberFormat="1" applyFont="1" applyBorder="1" applyAlignment="1">
      <alignment horizontal="center" readingOrder="1"/>
    </xf>
    <xf numFmtId="9" fontId="0" fillId="0" borderId="15" xfId="0" applyNumberFormat="1" applyBorder="1" applyAlignment="1">
      <alignment horizontal="center"/>
    </xf>
    <xf numFmtId="9" fontId="0" fillId="10" borderId="15" xfId="0" applyNumberFormat="1" applyFill="1" applyBorder="1" applyAlignment="1">
      <alignment horizontal="center" readingOrder="1"/>
    </xf>
    <xf numFmtId="9" fontId="0" fillId="0" borderId="19" xfId="0" applyNumberFormat="1" applyBorder="1" applyAlignment="1">
      <alignment horizontal="center" wrapText="1"/>
    </xf>
    <xf numFmtId="9" fontId="0" fillId="0" borderId="13" xfId="0" applyNumberFormat="1" applyBorder="1" applyAlignment="1">
      <alignment horizontal="center" wrapText="1"/>
    </xf>
    <xf numFmtId="9" fontId="0" fillId="0" borderId="14" xfId="0" applyNumberFormat="1" applyBorder="1" applyAlignment="1">
      <alignment horizontal="center" wrapText="1"/>
    </xf>
    <xf numFmtId="9" fontId="0" fillId="0" borderId="12" xfId="0" applyNumberFormat="1" applyBorder="1" applyAlignment="1">
      <alignment horizontal="center"/>
    </xf>
    <xf numFmtId="9" fontId="0" fillId="0" borderId="31" xfId="0" applyNumberFormat="1" applyBorder="1" applyAlignment="1">
      <alignment horizontal="center" wrapText="1"/>
    </xf>
    <xf numFmtId="166" fontId="0" fillId="0" borderId="0" xfId="0" applyNumberFormat="1"/>
    <xf numFmtId="0" fontId="0" fillId="23" borderId="16" xfId="0" applyFill="1" applyBorder="1"/>
    <xf numFmtId="0" fontId="0" fillId="10" borderId="17" xfId="0" applyFill="1" applyBorder="1" applyAlignment="1">
      <alignment horizontal="center" wrapText="1"/>
    </xf>
    <xf numFmtId="0" fontId="0" fillId="0" borderId="17" xfId="0" applyBorder="1" applyAlignment="1">
      <alignment horizontal="center" readingOrder="1"/>
    </xf>
    <xf numFmtId="0" fontId="0" fillId="0" borderId="40" xfId="0" applyBorder="1" applyAlignment="1">
      <alignment horizontal="center" readingOrder="1"/>
    </xf>
    <xf numFmtId="0" fontId="0" fillId="10" borderId="40" xfId="0" applyFill="1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74" xfId="0" applyBorder="1" applyAlignment="1">
      <alignment horizontal="center" wrapText="1"/>
    </xf>
    <xf numFmtId="3" fontId="0" fillId="5" borderId="18" xfId="0" applyNumberFormat="1" applyFill="1" applyBorder="1" applyAlignment="1">
      <alignment horizontal="center"/>
    </xf>
    <xf numFmtId="0" fontId="0" fillId="0" borderId="18" xfId="0" applyBorder="1" applyAlignment="1">
      <alignment horizontal="center" readingOrder="1"/>
    </xf>
    <xf numFmtId="8" fontId="39" fillId="0" borderId="16" xfId="0" applyNumberFormat="1" applyFont="1" applyBorder="1"/>
    <xf numFmtId="8" fontId="39" fillId="18" borderId="16" xfId="0" applyNumberFormat="1" applyFont="1" applyFill="1" applyBorder="1"/>
    <xf numFmtId="164" fontId="0" fillId="23" borderId="16" xfId="0" applyNumberFormat="1" applyFill="1" applyBorder="1"/>
    <xf numFmtId="0" fontId="21" fillId="21" borderId="0" xfId="0" applyFont="1" applyFill="1" applyAlignment="1">
      <alignment horizontal="center"/>
    </xf>
    <xf numFmtId="14" fontId="35" fillId="21" borderId="0" xfId="0" applyNumberFormat="1" applyFont="1" applyFill="1" applyAlignment="1">
      <alignment horizontal="center"/>
    </xf>
    <xf numFmtId="0" fontId="0" fillId="21" borderId="0" xfId="0" applyFill="1"/>
    <xf numFmtId="164" fontId="28" fillId="15" borderId="45" xfId="0" applyNumberFormat="1" applyFont="1" applyFill="1" applyBorder="1"/>
    <xf numFmtId="0" fontId="0" fillId="23" borderId="45" xfId="0" applyFill="1" applyBorder="1"/>
    <xf numFmtId="0" fontId="0" fillId="5" borderId="51" xfId="0" applyFill="1" applyBorder="1"/>
    <xf numFmtId="0" fontId="24" fillId="22" borderId="0" xfId="0" applyFont="1" applyFill="1" applyAlignment="1">
      <alignment horizontal="center" vertical="center" wrapText="1"/>
    </xf>
    <xf numFmtId="9" fontId="0" fillId="10" borderId="0" xfId="0" applyNumberFormat="1" applyFill="1" applyAlignment="1">
      <alignment horizontal="center" wrapText="1"/>
    </xf>
    <xf numFmtId="9" fontId="0" fillId="0" borderId="0" xfId="0" applyNumberFormat="1" applyAlignment="1">
      <alignment horizontal="center" readingOrder="1"/>
    </xf>
    <xf numFmtId="9" fontId="0" fillId="0" borderId="0" xfId="0" applyNumberFormat="1" applyAlignment="1">
      <alignment horizontal="center" wrapText="1"/>
    </xf>
    <xf numFmtId="9" fontId="28" fillId="10" borderId="0" xfId="0" applyNumberFormat="1" applyFont="1" applyFill="1" applyAlignment="1">
      <alignment horizontal="center" wrapText="1"/>
    </xf>
    <xf numFmtId="9" fontId="0" fillId="0" borderId="0" xfId="0" applyNumberFormat="1" applyAlignment="1">
      <alignment horizontal="center"/>
    </xf>
    <xf numFmtId="9" fontId="0" fillId="10" borderId="0" xfId="0" applyNumberFormat="1" applyFill="1" applyAlignment="1">
      <alignment horizontal="center" readingOrder="1"/>
    </xf>
    <xf numFmtId="9" fontId="0" fillId="10" borderId="0" xfId="0" applyNumberFormat="1" applyFill="1" applyAlignment="1">
      <alignment horizontal="center"/>
    </xf>
    <xf numFmtId="0" fontId="25" fillId="24" borderId="5" xfId="0" applyFont="1" applyFill="1" applyBorder="1" applyAlignment="1">
      <alignment horizontal="center"/>
    </xf>
    <xf numFmtId="0" fontId="25" fillId="22" borderId="4" xfId="0" applyFont="1" applyFill="1" applyBorder="1" applyAlignment="1">
      <alignment horizontal="center"/>
    </xf>
    <xf numFmtId="0" fontId="25" fillId="24" borderId="75" xfId="0" applyFont="1" applyFill="1" applyBorder="1" applyAlignment="1">
      <alignment horizontal="center"/>
    </xf>
    <xf numFmtId="0" fontId="24" fillId="24" borderId="18" xfId="0" applyFont="1" applyFill="1" applyBorder="1" applyAlignment="1">
      <alignment horizontal="center" vertical="center" wrapText="1"/>
    </xf>
    <xf numFmtId="9" fontId="0" fillId="10" borderId="18" xfId="0" applyNumberFormat="1" applyFill="1" applyBorder="1" applyAlignment="1">
      <alignment horizontal="center" wrapText="1"/>
    </xf>
    <xf numFmtId="9" fontId="0" fillId="0" borderId="18" xfId="0" applyNumberFormat="1" applyBorder="1" applyAlignment="1">
      <alignment horizontal="center" readingOrder="1"/>
    </xf>
    <xf numFmtId="9" fontId="0" fillId="0" borderId="18" xfId="0" applyNumberFormat="1" applyBorder="1" applyAlignment="1">
      <alignment horizontal="center" wrapText="1"/>
    </xf>
    <xf numFmtId="9" fontId="28" fillId="10" borderId="18" xfId="0" applyNumberFormat="1" applyFont="1" applyFill="1" applyBorder="1" applyAlignment="1">
      <alignment horizontal="center" readingOrder="1"/>
    </xf>
    <xf numFmtId="9" fontId="28" fillId="0" borderId="18" xfId="0" applyNumberFormat="1" applyFont="1" applyBorder="1" applyAlignment="1">
      <alignment horizontal="center" wrapText="1"/>
    </xf>
    <xf numFmtId="9" fontId="28" fillId="10" borderId="18" xfId="0" applyNumberFormat="1" applyFont="1" applyFill="1" applyBorder="1" applyAlignment="1">
      <alignment horizontal="center" wrapText="1"/>
    </xf>
    <xf numFmtId="9" fontId="28" fillId="0" borderId="18" xfId="0" applyNumberFormat="1" applyFont="1" applyBorder="1" applyAlignment="1">
      <alignment horizontal="center" readingOrder="1"/>
    </xf>
    <xf numFmtId="9" fontId="0" fillId="0" borderId="18" xfId="0" applyNumberFormat="1" applyBorder="1" applyAlignment="1">
      <alignment horizontal="center"/>
    </xf>
    <xf numFmtId="9" fontId="0" fillId="10" borderId="18" xfId="0" applyNumberFormat="1" applyFill="1" applyBorder="1" applyAlignment="1">
      <alignment horizontal="center" readingOrder="1"/>
    </xf>
    <xf numFmtId="9" fontId="0" fillId="10" borderId="18" xfId="0" applyNumberFormat="1" applyFill="1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7" xfId="0" applyBorder="1" applyAlignment="1">
      <alignment horizontal="center"/>
    </xf>
    <xf numFmtId="164" fontId="21" fillId="11" borderId="76" xfId="0" applyNumberFormat="1" applyFont="1" applyFill="1" applyBorder="1" applyAlignment="1">
      <alignment horizontal="center"/>
    </xf>
    <xf numFmtId="164" fontId="21" fillId="4" borderId="77" xfId="0" applyNumberFormat="1" applyFont="1" applyFill="1" applyBorder="1" applyAlignment="1">
      <alignment horizontal="center"/>
    </xf>
    <xf numFmtId="3" fontId="21" fillId="5" borderId="78" xfId="0" applyNumberFormat="1" applyFont="1" applyFill="1" applyBorder="1" applyAlignment="1">
      <alignment horizontal="center"/>
    </xf>
    <xf numFmtId="3" fontId="21" fillId="5" borderId="79" xfId="0" applyNumberFormat="1" applyFont="1" applyFill="1" applyBorder="1" applyAlignment="1">
      <alignment horizontal="center"/>
    </xf>
    <xf numFmtId="3" fontId="21" fillId="5" borderId="80" xfId="0" applyNumberFormat="1" applyFont="1" applyFill="1" applyBorder="1" applyAlignment="1">
      <alignment horizontal="center"/>
    </xf>
    <xf numFmtId="3" fontId="21" fillId="5" borderId="81" xfId="0" applyNumberFormat="1" applyFont="1" applyFill="1" applyBorder="1" applyAlignment="1">
      <alignment horizontal="center"/>
    </xf>
    <xf numFmtId="0" fontId="0" fillId="22" borderId="51" xfId="0" applyFill="1" applyBorder="1" applyAlignment="1">
      <alignment horizontal="center"/>
    </xf>
    <xf numFmtId="9" fontId="33" fillId="22" borderId="51" xfId="0" applyNumberFormat="1" applyFont="1" applyFill="1" applyBorder="1" applyAlignment="1">
      <alignment horizontal="center"/>
    </xf>
    <xf numFmtId="0" fontId="40" fillId="24" borderId="22" xfId="0" applyFont="1" applyFill="1" applyBorder="1" applyAlignment="1">
      <alignment horizontal="center"/>
    </xf>
    <xf numFmtId="0" fontId="0" fillId="24" borderId="22" xfId="0" applyFill="1" applyBorder="1" applyAlignment="1">
      <alignment horizontal="center"/>
    </xf>
    <xf numFmtId="0" fontId="24" fillId="24" borderId="29" xfId="0" applyFont="1" applyFill="1" applyBorder="1" applyAlignment="1">
      <alignment horizontal="center" vertical="center" wrapText="1"/>
    </xf>
    <xf numFmtId="0" fontId="27" fillId="20" borderId="51" xfId="0" applyFont="1" applyFill="1" applyBorder="1" applyAlignment="1">
      <alignment horizontal="center"/>
    </xf>
    <xf numFmtId="0" fontId="24" fillId="6" borderId="51" xfId="0" applyFont="1" applyFill="1" applyBorder="1" applyAlignment="1">
      <alignment horizontal="center" vertical="center" wrapText="1"/>
    </xf>
    <xf numFmtId="0" fontId="24" fillId="7" borderId="40" xfId="0" applyFont="1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/>
    </xf>
    <xf numFmtId="9" fontId="0" fillId="2" borderId="34" xfId="0" applyNumberFormat="1" applyFill="1" applyBorder="1" applyAlignment="1">
      <alignment horizontal="center"/>
    </xf>
    <xf numFmtId="0" fontId="0" fillId="8" borderId="20" xfId="0" applyFill="1" applyBorder="1" applyAlignment="1">
      <alignment horizontal="center" wrapText="1"/>
    </xf>
    <xf numFmtId="0" fontId="0" fillId="0" borderId="21" xfId="0" applyBorder="1" applyAlignment="1">
      <alignment horizontal="center" readingOrder="1"/>
    </xf>
    <xf numFmtId="0" fontId="0" fillId="10" borderId="21" xfId="0" applyFill="1" applyBorder="1" applyAlignment="1">
      <alignment horizontal="center"/>
    </xf>
    <xf numFmtId="0" fontId="0" fillId="10" borderId="21" xfId="0" applyFill="1" applyBorder="1" applyAlignment="1">
      <alignment horizontal="center" wrapText="1"/>
    </xf>
    <xf numFmtId="0" fontId="0" fillId="2" borderId="75" xfId="0" applyFill="1" applyBorder="1" applyAlignment="1">
      <alignment horizontal="center"/>
    </xf>
    <xf numFmtId="0" fontId="0" fillId="10" borderId="53" xfId="0" applyFill="1" applyBorder="1" applyAlignment="1">
      <alignment horizontal="center" wrapText="1"/>
    </xf>
    <xf numFmtId="0" fontId="0" fillId="0" borderId="83" xfId="0" applyBorder="1" applyAlignment="1">
      <alignment horizontal="center" readingOrder="1"/>
    </xf>
    <xf numFmtId="0" fontId="0" fillId="10" borderId="83" xfId="0" applyFill="1" applyBorder="1" applyAlignment="1">
      <alignment horizontal="center" wrapText="1"/>
    </xf>
    <xf numFmtId="0" fontId="28" fillId="10" borderId="83" xfId="0" applyFont="1" applyFill="1" applyBorder="1" applyAlignment="1">
      <alignment horizontal="center" readingOrder="1"/>
    </xf>
    <xf numFmtId="0" fontId="28" fillId="0" borderId="83" xfId="0" applyFont="1" applyBorder="1" applyAlignment="1">
      <alignment horizontal="center" wrapText="1"/>
    </xf>
    <xf numFmtId="0" fontId="28" fillId="10" borderId="83" xfId="0" applyFont="1" applyFill="1" applyBorder="1" applyAlignment="1">
      <alignment horizontal="center" wrapText="1"/>
    </xf>
    <xf numFmtId="0" fontId="28" fillId="0" borderId="83" xfId="0" applyFont="1" applyBorder="1" applyAlignment="1">
      <alignment horizontal="center" readingOrder="1"/>
    </xf>
    <xf numFmtId="0" fontId="0" fillId="0" borderId="83" xfId="0" applyBorder="1" applyAlignment="1">
      <alignment horizontal="center"/>
    </xf>
    <xf numFmtId="0" fontId="0" fillId="0" borderId="83" xfId="0" applyBorder="1" applyAlignment="1">
      <alignment horizontal="center" wrapText="1"/>
    </xf>
    <xf numFmtId="0" fontId="0" fillId="10" borderId="83" xfId="0" applyFill="1" applyBorder="1" applyAlignment="1">
      <alignment horizontal="center" readingOrder="1"/>
    </xf>
    <xf numFmtId="0" fontId="0" fillId="10" borderId="83" xfId="0" applyFill="1" applyBorder="1" applyAlignment="1">
      <alignment horizontal="center"/>
    </xf>
    <xf numFmtId="0" fontId="0" fillId="0" borderId="84" xfId="0" applyBorder="1" applyAlignment="1">
      <alignment horizontal="center" wrapText="1"/>
    </xf>
    <xf numFmtId="0" fontId="0" fillId="0" borderId="53" xfId="0" applyBorder="1" applyAlignment="1">
      <alignment horizontal="center" readingOrder="1"/>
    </xf>
    <xf numFmtId="0" fontId="0" fillId="0" borderId="86" xfId="0" applyBorder="1" applyAlignment="1">
      <alignment horizontal="center" wrapText="1"/>
    </xf>
    <xf numFmtId="0" fontId="0" fillId="2" borderId="74" xfId="0" applyFill="1" applyBorder="1" applyAlignment="1">
      <alignment horizontal="center"/>
    </xf>
    <xf numFmtId="0" fontId="0" fillId="0" borderId="87" xfId="0" applyBorder="1" applyAlignment="1">
      <alignment horizontal="center" wrapText="1"/>
    </xf>
    <xf numFmtId="0" fontId="0" fillId="10" borderId="0" xfId="0" applyFill="1" applyAlignment="1">
      <alignment horizontal="center" wrapText="1"/>
    </xf>
    <xf numFmtId="0" fontId="28" fillId="10" borderId="17" xfId="0" applyFont="1" applyFill="1" applyBorder="1" applyAlignment="1">
      <alignment horizontal="center" readingOrder="1"/>
    </xf>
    <xf numFmtId="0" fontId="28" fillId="0" borderId="17" xfId="0" applyFont="1" applyBorder="1" applyAlignment="1">
      <alignment horizontal="center" wrapText="1"/>
    </xf>
    <xf numFmtId="0" fontId="28" fillId="10" borderId="17" xfId="0" applyFont="1" applyFill="1" applyBorder="1" applyAlignment="1">
      <alignment horizontal="center" wrapText="1"/>
    </xf>
    <xf numFmtId="0" fontId="28" fillId="0" borderId="17" xfId="0" applyFont="1" applyBorder="1" applyAlignment="1">
      <alignment horizontal="center" readingOrder="1"/>
    </xf>
    <xf numFmtId="0" fontId="0" fillId="10" borderId="17" xfId="0" applyFill="1" applyBorder="1" applyAlignment="1">
      <alignment horizontal="center" readingOrder="1"/>
    </xf>
    <xf numFmtId="0" fontId="0" fillId="0" borderId="89" xfId="0" applyBorder="1" applyAlignment="1">
      <alignment horizontal="center" wrapText="1"/>
    </xf>
    <xf numFmtId="0" fontId="0" fillId="0" borderId="53" xfId="0" applyBorder="1" applyAlignment="1">
      <alignment horizontal="center"/>
    </xf>
    <xf numFmtId="9" fontId="0" fillId="10" borderId="53" xfId="0" applyNumberFormat="1" applyFill="1" applyBorder="1" applyAlignment="1">
      <alignment horizontal="center"/>
    </xf>
    <xf numFmtId="9" fontId="0" fillId="0" borderId="53" xfId="0" applyNumberFormat="1" applyBorder="1" applyAlignment="1">
      <alignment horizontal="center" readingOrder="1"/>
    </xf>
    <xf numFmtId="9" fontId="0" fillId="0" borderId="53" xfId="0" applyNumberFormat="1" applyBorder="1" applyAlignment="1">
      <alignment horizontal="center" wrapText="1"/>
    </xf>
    <xf numFmtId="9" fontId="28" fillId="10" borderId="53" xfId="0" applyNumberFormat="1" applyFont="1" applyFill="1" applyBorder="1" applyAlignment="1">
      <alignment horizontal="center" readingOrder="1"/>
    </xf>
    <xf numFmtId="9" fontId="28" fillId="0" borderId="53" xfId="0" applyNumberFormat="1" applyFont="1" applyBorder="1" applyAlignment="1">
      <alignment horizontal="center" wrapText="1"/>
    </xf>
    <xf numFmtId="9" fontId="28" fillId="10" borderId="53" xfId="0" applyNumberFormat="1" applyFont="1" applyFill="1" applyBorder="1" applyAlignment="1">
      <alignment horizontal="center" wrapText="1"/>
    </xf>
    <xf numFmtId="9" fontId="28" fillId="0" borderId="53" xfId="0" applyNumberFormat="1" applyFont="1" applyBorder="1" applyAlignment="1">
      <alignment horizontal="center" readingOrder="1"/>
    </xf>
    <xf numFmtId="9" fontId="0" fillId="0" borderId="53" xfId="0" applyNumberFormat="1" applyBorder="1" applyAlignment="1">
      <alignment horizontal="center"/>
    </xf>
    <xf numFmtId="9" fontId="0" fillId="10" borderId="53" xfId="0" applyNumberFormat="1" applyFill="1" applyBorder="1" applyAlignment="1">
      <alignment horizontal="center" wrapText="1"/>
    </xf>
    <xf numFmtId="9" fontId="0" fillId="10" borderId="53" xfId="0" applyNumberFormat="1" applyFill="1" applyBorder="1" applyAlignment="1">
      <alignment horizontal="center" readingOrder="1"/>
    </xf>
    <xf numFmtId="9" fontId="0" fillId="0" borderId="90" xfId="0" applyNumberFormat="1" applyBorder="1" applyAlignment="1">
      <alignment horizontal="center" wrapText="1"/>
    </xf>
    <xf numFmtId="3" fontId="21" fillId="5" borderId="63" xfId="0" applyNumberFormat="1" applyFont="1" applyFill="1" applyBorder="1" applyAlignment="1">
      <alignment horizontal="center"/>
    </xf>
    <xf numFmtId="0" fontId="24" fillId="6" borderId="0" xfId="0" applyFont="1" applyFill="1" applyAlignment="1">
      <alignment horizontal="center" vertical="center" wrapText="1"/>
    </xf>
    <xf numFmtId="0" fontId="24" fillId="7" borderId="15" xfId="0" applyFont="1" applyFill="1" applyBorder="1" applyAlignment="1">
      <alignment horizontal="center" vertical="center" wrapText="1"/>
    </xf>
    <xf numFmtId="9" fontId="0" fillId="0" borderId="87" xfId="0" applyNumberFormat="1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28" fillId="0" borderId="40" xfId="0" applyFont="1" applyBorder="1" applyAlignment="1">
      <alignment horizontal="center" readingOrder="1"/>
    </xf>
    <xf numFmtId="0" fontId="28" fillId="0" borderId="40" xfId="0" applyFont="1" applyBorder="1" applyAlignment="1">
      <alignment horizontal="center" wrapText="1"/>
    </xf>
    <xf numFmtId="0" fontId="0" fillId="0" borderId="54" xfId="0" applyBorder="1" applyAlignment="1">
      <alignment horizontal="center" wrapText="1"/>
    </xf>
    <xf numFmtId="0" fontId="24" fillId="13" borderId="15" xfId="0" applyFont="1" applyFill="1" applyBorder="1" applyAlignment="1">
      <alignment horizontal="center" vertical="center" wrapText="1"/>
    </xf>
    <xf numFmtId="164" fontId="0" fillId="0" borderId="91" xfId="0" applyNumberFormat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0" borderId="92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40" fillId="24" borderId="16" xfId="0" applyFont="1" applyFill="1" applyBorder="1" applyAlignment="1">
      <alignment horizontal="center"/>
    </xf>
    <xf numFmtId="0" fontId="0" fillId="24" borderId="93" xfId="0" applyFill="1" applyBorder="1" applyAlignment="1">
      <alignment horizontal="center"/>
    </xf>
    <xf numFmtId="9" fontId="0" fillId="2" borderId="74" xfId="0" applyNumberFormat="1" applyFill="1" applyBorder="1" applyAlignment="1">
      <alignment horizontal="center"/>
    </xf>
    <xf numFmtId="9" fontId="0" fillId="2" borderId="85" xfId="0" applyNumberFormat="1" applyFill="1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5" xfId="0" applyBorder="1" applyAlignment="1">
      <alignment horizontal="center"/>
    </xf>
    <xf numFmtId="0" fontId="28" fillId="10" borderId="53" xfId="0" applyFont="1" applyFill="1" applyBorder="1" applyAlignment="1">
      <alignment horizontal="center" readingOrder="1"/>
    </xf>
    <xf numFmtId="0" fontId="28" fillId="10" borderId="18" xfId="0" applyFont="1" applyFill="1" applyBorder="1" applyAlignment="1">
      <alignment horizontal="center" readingOrder="1"/>
    </xf>
    <xf numFmtId="0" fontId="28" fillId="0" borderId="18" xfId="0" applyFont="1" applyBorder="1" applyAlignment="1">
      <alignment horizontal="center" wrapText="1"/>
    </xf>
    <xf numFmtId="0" fontId="28" fillId="0" borderId="53" xfId="0" applyFont="1" applyBorder="1" applyAlignment="1">
      <alignment horizontal="center" wrapText="1"/>
    </xf>
    <xf numFmtId="1" fontId="0" fillId="2" borderId="75" xfId="0" applyNumberFormat="1" applyFill="1" applyBorder="1" applyAlignment="1">
      <alignment horizontal="center"/>
    </xf>
    <xf numFmtId="1" fontId="0" fillId="10" borderId="18" xfId="0" applyNumberFormat="1" applyFill="1" applyBorder="1" applyAlignment="1">
      <alignment horizontal="center" wrapText="1"/>
    </xf>
    <xf numFmtId="1" fontId="0" fillId="0" borderId="18" xfId="0" applyNumberFormat="1" applyBorder="1" applyAlignment="1">
      <alignment horizontal="center" readingOrder="1"/>
    </xf>
    <xf numFmtId="1" fontId="0" fillId="0" borderId="18" xfId="0" applyNumberFormat="1" applyBorder="1" applyAlignment="1">
      <alignment horizontal="center" wrapText="1"/>
    </xf>
    <xf numFmtId="1" fontId="28" fillId="10" borderId="18" xfId="0" applyNumberFormat="1" applyFont="1" applyFill="1" applyBorder="1" applyAlignment="1">
      <alignment horizontal="center" readingOrder="1"/>
    </xf>
    <xf numFmtId="1" fontId="28" fillId="0" borderId="18" xfId="0" applyNumberFormat="1" applyFont="1" applyBorder="1" applyAlignment="1">
      <alignment horizontal="center" wrapText="1"/>
    </xf>
    <xf numFmtId="1" fontId="28" fillId="10" borderId="18" xfId="0" applyNumberFormat="1" applyFont="1" applyFill="1" applyBorder="1" applyAlignment="1">
      <alignment horizontal="center" wrapText="1"/>
    </xf>
    <xf numFmtId="1" fontId="28" fillId="0" borderId="18" xfId="0" applyNumberFormat="1" applyFont="1" applyBorder="1" applyAlignment="1">
      <alignment horizontal="center" readingOrder="1"/>
    </xf>
    <xf numFmtId="1" fontId="0" fillId="0" borderId="18" xfId="0" applyNumberFormat="1" applyBorder="1" applyAlignment="1">
      <alignment horizontal="center"/>
    </xf>
    <xf numFmtId="1" fontId="0" fillId="10" borderId="18" xfId="0" applyNumberFormat="1" applyFill="1" applyBorder="1" applyAlignment="1">
      <alignment horizontal="center" readingOrder="1"/>
    </xf>
    <xf numFmtId="1" fontId="0" fillId="10" borderId="18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10" borderId="40" xfId="0" applyNumberFormat="1" applyFill="1" applyBorder="1" applyAlignment="1">
      <alignment horizontal="center" wrapText="1"/>
    </xf>
    <xf numFmtId="1" fontId="0" fillId="0" borderId="40" xfId="0" applyNumberFormat="1" applyBorder="1" applyAlignment="1">
      <alignment horizontal="center" readingOrder="1"/>
    </xf>
    <xf numFmtId="1" fontId="0" fillId="10" borderId="40" xfId="0" applyNumberFormat="1" applyFill="1" applyBorder="1" applyAlignment="1">
      <alignment horizontal="center"/>
    </xf>
    <xf numFmtId="1" fontId="0" fillId="0" borderId="40" xfId="0" applyNumberFormat="1" applyBorder="1" applyAlignment="1">
      <alignment horizontal="center" wrapText="1"/>
    </xf>
    <xf numFmtId="1" fontId="28" fillId="10" borderId="40" xfId="0" applyNumberFormat="1" applyFont="1" applyFill="1" applyBorder="1" applyAlignment="1">
      <alignment horizontal="center" readingOrder="1"/>
    </xf>
    <xf numFmtId="1" fontId="28" fillId="0" borderId="40" xfId="0" applyNumberFormat="1" applyFont="1" applyBorder="1" applyAlignment="1">
      <alignment horizontal="center" wrapText="1"/>
    </xf>
    <xf numFmtId="1" fontId="28" fillId="10" borderId="40" xfId="0" applyNumberFormat="1" applyFont="1" applyFill="1" applyBorder="1" applyAlignment="1">
      <alignment horizontal="center" wrapText="1"/>
    </xf>
    <xf numFmtId="1" fontId="28" fillId="0" borderId="40" xfId="0" applyNumberFormat="1" applyFont="1" applyBorder="1" applyAlignment="1">
      <alignment horizontal="center" readingOrder="1"/>
    </xf>
    <xf numFmtId="1" fontId="0" fillId="0" borderId="40" xfId="0" applyNumberFormat="1" applyBorder="1" applyAlignment="1">
      <alignment horizontal="center"/>
    </xf>
    <xf numFmtId="1" fontId="0" fillId="10" borderId="40" xfId="0" applyNumberFormat="1" applyFill="1" applyBorder="1" applyAlignment="1">
      <alignment horizontal="center" readingOrder="1"/>
    </xf>
    <xf numFmtId="1" fontId="0" fillId="0" borderId="24" xfId="0" applyNumberFormat="1" applyBorder="1" applyAlignment="1">
      <alignment horizontal="center" wrapText="1"/>
    </xf>
    <xf numFmtId="1" fontId="0" fillId="0" borderId="12" xfId="0" applyNumberFormat="1" applyBorder="1" applyAlignment="1">
      <alignment horizontal="center"/>
    </xf>
    <xf numFmtId="0" fontId="24" fillId="5" borderId="94" xfId="0" applyFont="1" applyFill="1" applyBorder="1" applyAlignment="1">
      <alignment horizontal="center"/>
    </xf>
    <xf numFmtId="164" fontId="34" fillId="5" borderId="59" xfId="0" applyNumberFormat="1" applyFont="1" applyFill="1" applyBorder="1" applyAlignment="1">
      <alignment horizontal="center"/>
    </xf>
    <xf numFmtId="164" fontId="37" fillId="5" borderId="59" xfId="0" applyNumberFormat="1" applyFont="1" applyFill="1" applyBorder="1" applyAlignment="1">
      <alignment horizontal="center"/>
    </xf>
    <xf numFmtId="166" fontId="0" fillId="0" borderId="68" xfId="0" applyNumberFormat="1" applyBorder="1" applyAlignment="1">
      <alignment horizontal="center"/>
    </xf>
    <xf numFmtId="164" fontId="22" fillId="0" borderId="65" xfId="0" applyNumberFormat="1" applyFont="1" applyBorder="1" applyAlignment="1">
      <alignment horizontal="center"/>
    </xf>
    <xf numFmtId="0" fontId="21" fillId="15" borderId="45" xfId="0" applyFont="1" applyFill="1" applyBorder="1" applyAlignment="1">
      <alignment horizontal="center"/>
    </xf>
    <xf numFmtId="166" fontId="0" fillId="0" borderId="45" xfId="0" applyNumberFormat="1" applyBorder="1" applyAlignment="1">
      <alignment horizontal="center"/>
    </xf>
    <xf numFmtId="166" fontId="0" fillId="15" borderId="45" xfId="0" applyNumberFormat="1" applyFill="1" applyBorder="1" applyAlignment="1">
      <alignment horizontal="center"/>
    </xf>
    <xf numFmtId="166" fontId="0" fillId="5" borderId="95" xfId="0" applyNumberFormat="1" applyFill="1" applyBorder="1" applyAlignment="1">
      <alignment horizontal="center"/>
    </xf>
    <xf numFmtId="164" fontId="34" fillId="0" borderId="7" xfId="0" applyNumberFormat="1" applyFont="1" applyBorder="1" applyAlignment="1">
      <alignment horizontal="center"/>
    </xf>
    <xf numFmtId="0" fontId="25" fillId="19" borderId="17" xfId="0" applyFont="1" applyFill="1" applyBorder="1" applyAlignment="1">
      <alignment horizontal="center"/>
    </xf>
    <xf numFmtId="0" fontId="24" fillId="19" borderId="9" xfId="0" applyFont="1" applyFill="1" applyBorder="1" applyAlignment="1">
      <alignment horizontal="center" vertical="center" wrapText="1"/>
    </xf>
    <xf numFmtId="0" fontId="25" fillId="25" borderId="96" xfId="0" applyFont="1" applyFill="1" applyBorder="1" applyAlignment="1">
      <alignment horizontal="center"/>
    </xf>
    <xf numFmtId="0" fontId="24" fillId="25" borderId="97" xfId="0" applyFont="1" applyFill="1" applyBorder="1" applyAlignment="1">
      <alignment horizontal="center" vertical="center" wrapText="1"/>
    </xf>
    <xf numFmtId="0" fontId="25" fillId="5" borderId="98" xfId="0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5" fillId="7" borderId="22" xfId="0" applyFont="1" applyFill="1" applyBorder="1" applyAlignment="1">
      <alignment horizontal="center"/>
    </xf>
    <xf numFmtId="0" fontId="26" fillId="20" borderId="99" xfId="0" applyFont="1" applyFill="1" applyBorder="1" applyAlignment="1">
      <alignment horizontal="center" vertical="center" wrapText="1"/>
    </xf>
    <xf numFmtId="0" fontId="25" fillId="7" borderId="100" xfId="0" applyFont="1" applyFill="1" applyBorder="1" applyAlignment="1">
      <alignment horizontal="center"/>
    </xf>
    <xf numFmtId="0" fontId="25" fillId="24" borderId="22" xfId="0" applyFont="1" applyFill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41" fillId="15" borderId="67" xfId="0" applyFont="1" applyFill="1" applyBorder="1" applyAlignment="1">
      <alignment horizontal="center"/>
    </xf>
    <xf numFmtId="0" fontId="42" fillId="5" borderId="94" xfId="0" applyFont="1" applyFill="1" applyBorder="1" applyAlignment="1">
      <alignment horizontal="center"/>
    </xf>
    <xf numFmtId="0" fontId="41" fillId="15" borderId="16" xfId="0" applyFont="1" applyFill="1" applyBorder="1" applyAlignment="1">
      <alignment horizontal="center"/>
    </xf>
    <xf numFmtId="14" fontId="41" fillId="16" borderId="41" xfId="0" applyNumberFormat="1" applyFont="1" applyFill="1" applyBorder="1" applyAlignment="1">
      <alignment horizontal="center"/>
    </xf>
    <xf numFmtId="166" fontId="41" fillId="0" borderId="47" xfId="0" applyNumberFormat="1" applyFont="1" applyBorder="1" applyAlignment="1">
      <alignment horizontal="center"/>
    </xf>
    <xf numFmtId="166" fontId="41" fillId="0" borderId="45" xfId="0" applyNumberFormat="1" applyFont="1" applyBorder="1" applyAlignment="1">
      <alignment horizontal="center"/>
    </xf>
    <xf numFmtId="8" fontId="42" fillId="0" borderId="16" xfId="0" applyNumberFormat="1" applyFont="1" applyBorder="1"/>
    <xf numFmtId="8" fontId="44" fillId="0" borderId="16" xfId="0" applyNumberFormat="1" applyFont="1" applyBorder="1"/>
    <xf numFmtId="166" fontId="41" fillId="0" borderId="16" xfId="0" applyNumberFormat="1" applyFont="1" applyBorder="1" applyAlignment="1">
      <alignment horizontal="center"/>
    </xf>
    <xf numFmtId="166" fontId="42" fillId="0" borderId="16" xfId="0" applyNumberFormat="1" applyFont="1" applyBorder="1"/>
    <xf numFmtId="8" fontId="42" fillId="0" borderId="14" xfId="0" applyNumberFormat="1" applyFont="1" applyBorder="1"/>
    <xf numFmtId="166" fontId="41" fillId="8" borderId="45" xfId="0" applyNumberFormat="1" applyFont="1" applyFill="1" applyBorder="1"/>
    <xf numFmtId="14" fontId="41" fillId="16" borderId="47" xfId="0" applyNumberFormat="1" applyFont="1" applyFill="1" applyBorder="1" applyAlignment="1">
      <alignment horizontal="center"/>
    </xf>
    <xf numFmtId="14" fontId="41" fillId="15" borderId="48" xfId="0" applyNumberFormat="1" applyFont="1" applyFill="1" applyBorder="1" applyAlignment="1">
      <alignment horizontal="center"/>
    </xf>
    <xf numFmtId="166" fontId="41" fillId="15" borderId="45" xfId="0" applyNumberFormat="1" applyFont="1" applyFill="1" applyBorder="1" applyAlignment="1">
      <alignment horizontal="center"/>
    </xf>
    <xf numFmtId="8" fontId="42" fillId="15" borderId="16" xfId="0" applyNumberFormat="1" applyFont="1" applyFill="1" applyBorder="1"/>
    <xf numFmtId="8" fontId="44" fillId="15" borderId="16" xfId="0" applyNumberFormat="1" applyFont="1" applyFill="1" applyBorder="1"/>
    <xf numFmtId="166" fontId="41" fillId="15" borderId="16" xfId="0" applyNumberFormat="1" applyFont="1" applyFill="1" applyBorder="1" applyAlignment="1">
      <alignment horizontal="center"/>
    </xf>
    <xf numFmtId="166" fontId="42" fillId="15" borderId="16" xfId="0" applyNumberFormat="1" applyFont="1" applyFill="1" applyBorder="1"/>
    <xf numFmtId="14" fontId="41" fillId="16" borderId="48" xfId="0" applyNumberFormat="1" applyFont="1" applyFill="1" applyBorder="1" applyAlignment="1">
      <alignment horizontal="center"/>
    </xf>
    <xf numFmtId="166" fontId="41" fillId="0" borderId="68" xfId="0" applyNumberFormat="1" applyFont="1" applyBorder="1" applyAlignment="1">
      <alignment horizontal="center"/>
    </xf>
    <xf numFmtId="164" fontId="44" fillId="0" borderId="65" xfId="0" applyNumberFormat="1" applyFont="1" applyBorder="1" applyAlignment="1">
      <alignment horizontal="center"/>
    </xf>
    <xf numFmtId="166" fontId="41" fillId="21" borderId="16" xfId="0" applyNumberFormat="1" applyFont="1" applyFill="1" applyBorder="1" applyAlignment="1">
      <alignment horizontal="center"/>
    </xf>
    <xf numFmtId="14" fontId="41" fillId="5" borderId="49" xfId="0" applyNumberFormat="1" applyFont="1" applyFill="1" applyBorder="1" applyAlignment="1">
      <alignment horizontal="center"/>
    </xf>
    <xf numFmtId="166" fontId="41" fillId="5" borderId="95" xfId="0" applyNumberFormat="1" applyFont="1" applyFill="1" applyBorder="1" applyAlignment="1">
      <alignment horizontal="center"/>
    </xf>
    <xf numFmtId="166" fontId="41" fillId="5" borderId="28" xfId="0" applyNumberFormat="1" applyFont="1" applyFill="1" applyBorder="1" applyAlignment="1">
      <alignment horizontal="center"/>
    </xf>
    <xf numFmtId="166" fontId="41" fillId="5" borderId="7" xfId="0" applyNumberFormat="1" applyFont="1" applyFill="1" applyBorder="1" applyAlignment="1">
      <alignment horizontal="center"/>
    </xf>
    <xf numFmtId="165" fontId="41" fillId="5" borderId="7" xfId="0" applyNumberFormat="1" applyFont="1" applyFill="1" applyBorder="1"/>
    <xf numFmtId="166" fontId="41" fillId="5" borderId="16" xfId="0" applyNumberFormat="1" applyFont="1" applyFill="1" applyBorder="1" applyAlignment="1">
      <alignment horizontal="center"/>
    </xf>
    <xf numFmtId="8" fontId="42" fillId="18" borderId="16" xfId="0" applyNumberFormat="1" applyFont="1" applyFill="1" applyBorder="1"/>
    <xf numFmtId="8" fontId="42" fillId="5" borderId="14" xfId="0" applyNumberFormat="1" applyFont="1" applyFill="1" applyBorder="1"/>
    <xf numFmtId="166" fontId="41" fillId="5" borderId="16" xfId="0" applyNumberFormat="1" applyFont="1" applyFill="1" applyBorder="1"/>
    <xf numFmtId="0" fontId="41" fillId="0" borderId="0" xfId="0" applyFont="1"/>
    <xf numFmtId="166" fontId="43" fillId="0" borderId="7" xfId="0" applyNumberFormat="1" applyFont="1" applyBorder="1"/>
    <xf numFmtId="166" fontId="43" fillId="0" borderId="16" xfId="0" applyNumberFormat="1" applyFont="1" applyBorder="1"/>
    <xf numFmtId="166" fontId="41" fillId="0" borderId="0" xfId="0" applyNumberFormat="1" applyFont="1" applyAlignment="1">
      <alignment horizontal="center"/>
    </xf>
    <xf numFmtId="164" fontId="43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0" fontId="41" fillId="15" borderId="16" xfId="0" applyFont="1" applyFill="1" applyBorder="1"/>
    <xf numFmtId="0" fontId="41" fillId="15" borderId="66" xfId="0" applyFont="1" applyFill="1" applyBorder="1"/>
    <xf numFmtId="0" fontId="41" fillId="8" borderId="16" xfId="0" applyFont="1" applyFill="1" applyBorder="1" applyAlignment="1">
      <alignment horizontal="center"/>
    </xf>
    <xf numFmtId="166" fontId="41" fillId="0" borderId="16" xfId="0" applyNumberFormat="1" applyFont="1" applyBorder="1"/>
    <xf numFmtId="166" fontId="41" fillId="0" borderId="66" xfId="0" applyNumberFormat="1" applyFont="1" applyBorder="1"/>
    <xf numFmtId="166" fontId="41" fillId="8" borderId="16" xfId="0" applyNumberFormat="1" applyFont="1" applyFill="1" applyBorder="1"/>
    <xf numFmtId="0" fontId="41" fillId="5" borderId="16" xfId="0" applyFont="1" applyFill="1" applyBorder="1"/>
    <xf numFmtId="6" fontId="41" fillId="5" borderId="16" xfId="0" applyNumberFormat="1" applyFont="1" applyFill="1" applyBorder="1"/>
    <xf numFmtId="9" fontId="41" fillId="0" borderId="0" xfId="0" applyNumberFormat="1" applyFont="1"/>
    <xf numFmtId="0" fontId="42" fillId="17" borderId="16" xfId="0" applyFont="1" applyFill="1" applyBorder="1"/>
    <xf numFmtId="8" fontId="41" fillId="0" borderId="16" xfId="0" applyNumberFormat="1" applyFont="1" applyBorder="1"/>
    <xf numFmtId="8" fontId="41" fillId="0" borderId="66" xfId="0" applyNumberFormat="1" applyFont="1" applyBorder="1"/>
    <xf numFmtId="6" fontId="41" fillId="0" borderId="16" xfId="0" applyNumberFormat="1" applyFont="1" applyBorder="1"/>
    <xf numFmtId="8" fontId="41" fillId="8" borderId="16" xfId="0" applyNumberFormat="1" applyFont="1" applyFill="1" applyBorder="1"/>
    <xf numFmtId="8" fontId="41" fillId="5" borderId="16" xfId="0" applyNumberFormat="1" applyFont="1" applyFill="1" applyBorder="1"/>
    <xf numFmtId="164" fontId="36" fillId="15" borderId="45" xfId="0" applyNumberFormat="1" applyFont="1" applyFill="1" applyBorder="1"/>
    <xf numFmtId="8" fontId="43" fillId="0" borderId="14" xfId="0" applyNumberFormat="1" applyFont="1" applyBorder="1"/>
    <xf numFmtId="0" fontId="41" fillId="0" borderId="66" xfId="0" applyFont="1" applyBorder="1"/>
    <xf numFmtId="0" fontId="41" fillId="5" borderId="66" xfId="0" applyFont="1" applyFill="1" applyBorder="1"/>
    <xf numFmtId="0" fontId="42" fillId="26" borderId="16" xfId="0" applyFont="1" applyFill="1" applyBorder="1"/>
    <xf numFmtId="0" fontId="40" fillId="0" borderId="16" xfId="0" applyFont="1" applyBorder="1" applyAlignment="1">
      <alignment horizontal="center"/>
    </xf>
    <xf numFmtId="0" fontId="0" fillId="0" borderId="93" xfId="0" applyBorder="1" applyAlignment="1">
      <alignment horizontal="center"/>
    </xf>
    <xf numFmtId="0" fontId="40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4" fillId="6" borderId="106" xfId="0" applyFont="1" applyFill="1" applyBorder="1" applyAlignment="1">
      <alignment horizontal="center" vertical="center" wrapText="1"/>
    </xf>
    <xf numFmtId="0" fontId="24" fillId="13" borderId="107" xfId="0" applyFont="1" applyFill="1" applyBorder="1" applyAlignment="1">
      <alignment horizontal="center" vertical="center" wrapText="1"/>
    </xf>
    <xf numFmtId="164" fontId="45" fillId="5" borderId="59" xfId="0" applyNumberFormat="1" applyFon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0" borderId="0" xfId="0" applyNumberFormat="1" applyAlignment="1">
      <alignment horizontal="center" readingOrder="1"/>
    </xf>
    <xf numFmtId="1" fontId="0" fillId="10" borderId="0" xfId="0" applyNumberFormat="1" applyFill="1" applyAlignment="1">
      <alignment horizontal="center" wrapText="1"/>
    </xf>
    <xf numFmtId="1" fontId="28" fillId="10" borderId="0" xfId="0" applyNumberFormat="1" applyFont="1" applyFill="1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10" borderId="0" xfId="0" applyNumberFormat="1" applyFill="1" applyAlignment="1">
      <alignment horizontal="center" readingOrder="1"/>
    </xf>
    <xf numFmtId="1" fontId="0" fillId="10" borderId="0" xfId="0" applyNumberFormat="1" applyFill="1" applyAlignment="1">
      <alignment horizontal="center"/>
    </xf>
    <xf numFmtId="1" fontId="21" fillId="5" borderId="80" xfId="0" applyNumberFormat="1" applyFont="1" applyFill="1" applyBorder="1" applyAlignment="1">
      <alignment horizontal="center"/>
    </xf>
    <xf numFmtId="164" fontId="43" fillId="5" borderId="59" xfId="0" applyNumberFormat="1" applyFont="1" applyFill="1" applyBorder="1" applyAlignment="1">
      <alignment horizontal="center"/>
    </xf>
    <xf numFmtId="164" fontId="45" fillId="0" borderId="7" xfId="0" applyNumberFormat="1" applyFont="1" applyBorder="1" applyAlignment="1">
      <alignment horizontal="center"/>
    </xf>
    <xf numFmtId="0" fontId="28" fillId="10" borderId="0" xfId="0" applyFont="1" applyFill="1" applyAlignment="1">
      <alignment horizontal="center" readingOrder="1"/>
    </xf>
    <xf numFmtId="0" fontId="0" fillId="2" borderId="108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09" xfId="0" applyBorder="1" applyAlignment="1">
      <alignment horizontal="center"/>
    </xf>
    <xf numFmtId="0" fontId="0" fillId="8" borderId="18" xfId="0" applyFill="1" applyBorder="1" applyAlignment="1">
      <alignment horizontal="center" wrapText="1"/>
    </xf>
    <xf numFmtId="0" fontId="25" fillId="25" borderId="110" xfId="0" applyFont="1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3" fontId="21" fillId="0" borderId="8" xfId="0" applyNumberFormat="1" applyFont="1" applyBorder="1" applyAlignment="1">
      <alignment horizontal="center"/>
    </xf>
    <xf numFmtId="8" fontId="42" fillId="0" borderId="111" xfId="0" applyNumberFormat="1" applyFont="1" applyBorder="1"/>
    <xf numFmtId="166" fontId="46" fillId="0" borderId="16" xfId="0" applyNumberFormat="1" applyFont="1" applyBorder="1"/>
    <xf numFmtId="0" fontId="21" fillId="0" borderId="0" xfId="0" applyFont="1"/>
    <xf numFmtId="164" fontId="36" fillId="15" borderId="28" xfId="0" applyNumberFormat="1" applyFont="1" applyFill="1" applyBorder="1"/>
    <xf numFmtId="164" fontId="36" fillId="15" borderId="7" xfId="0" applyNumberFormat="1" applyFont="1" applyFill="1" applyBorder="1"/>
    <xf numFmtId="164" fontId="42" fillId="5" borderId="65" xfId="0" applyNumberFormat="1" applyFont="1" applyFill="1" applyBorder="1" applyAlignment="1">
      <alignment horizontal="center"/>
    </xf>
    <xf numFmtId="1" fontId="0" fillId="2" borderId="74" xfId="0" applyNumberFormat="1" applyFill="1" applyBorder="1" applyAlignment="1">
      <alignment horizontal="center"/>
    </xf>
    <xf numFmtId="1" fontId="0" fillId="0" borderId="87" xfId="0" applyNumberFormat="1" applyBorder="1" applyAlignment="1">
      <alignment horizontal="center" wrapText="1"/>
    </xf>
    <xf numFmtId="1" fontId="0" fillId="2" borderId="85" xfId="0" applyNumberFormat="1" applyFill="1" applyBorder="1" applyAlignment="1">
      <alignment horizontal="center"/>
    </xf>
    <xf numFmtId="1" fontId="0" fillId="0" borderId="53" xfId="0" applyNumberFormat="1" applyBorder="1" applyAlignment="1">
      <alignment horizontal="center" readingOrder="1"/>
    </xf>
    <xf numFmtId="1" fontId="0" fillId="10" borderId="53" xfId="0" applyNumberFormat="1" applyFill="1" applyBorder="1" applyAlignment="1">
      <alignment horizontal="center"/>
    </xf>
    <xf numFmtId="1" fontId="0" fillId="10" borderId="53" xfId="0" applyNumberFormat="1" applyFill="1" applyBorder="1" applyAlignment="1">
      <alignment horizontal="center" wrapText="1"/>
    </xf>
    <xf numFmtId="1" fontId="0" fillId="0" borderId="53" xfId="0" applyNumberFormat="1" applyBorder="1" applyAlignment="1">
      <alignment horizontal="center" wrapText="1"/>
    </xf>
    <xf numFmtId="1" fontId="28" fillId="10" borderId="53" xfId="0" applyNumberFormat="1" applyFont="1" applyFill="1" applyBorder="1" applyAlignment="1">
      <alignment horizontal="center" readingOrder="1"/>
    </xf>
    <xf numFmtId="1" fontId="28" fillId="0" borderId="53" xfId="0" applyNumberFormat="1" applyFont="1" applyBorder="1" applyAlignment="1">
      <alignment horizontal="center" wrapText="1"/>
    </xf>
    <xf numFmtId="1" fontId="28" fillId="10" borderId="53" xfId="0" applyNumberFormat="1" applyFont="1" applyFill="1" applyBorder="1" applyAlignment="1">
      <alignment horizontal="center" wrapText="1"/>
    </xf>
    <xf numFmtId="1" fontId="28" fillId="0" borderId="53" xfId="0" applyNumberFormat="1" applyFont="1" applyBorder="1" applyAlignment="1">
      <alignment horizontal="center" readingOrder="1"/>
    </xf>
    <xf numFmtId="1" fontId="0" fillId="0" borderId="53" xfId="0" applyNumberFormat="1" applyBorder="1" applyAlignment="1">
      <alignment horizontal="center"/>
    </xf>
    <xf numFmtId="1" fontId="0" fillId="10" borderId="53" xfId="0" applyNumberFormat="1" applyFill="1" applyBorder="1" applyAlignment="1">
      <alignment horizontal="center" readingOrder="1"/>
    </xf>
    <xf numFmtId="1" fontId="0" fillId="0" borderId="90" xfId="0" applyNumberFormat="1" applyBorder="1" applyAlignment="1">
      <alignment horizontal="center" wrapText="1"/>
    </xf>
    <xf numFmtId="166" fontId="21" fillId="5" borderId="16" xfId="0" applyNumberFormat="1" applyFont="1" applyFill="1" applyBorder="1"/>
    <xf numFmtId="3" fontId="21" fillId="21" borderId="78" xfId="0" applyNumberFormat="1" applyFont="1" applyFill="1" applyBorder="1" applyAlignment="1">
      <alignment horizontal="center"/>
    </xf>
    <xf numFmtId="3" fontId="21" fillId="27" borderId="79" xfId="0" applyNumberFormat="1" applyFont="1" applyFill="1" applyBorder="1" applyAlignment="1">
      <alignment horizontal="center"/>
    </xf>
    <xf numFmtId="1" fontId="21" fillId="6" borderId="80" xfId="0" applyNumberFormat="1" applyFont="1" applyFill="1" applyBorder="1" applyAlignment="1">
      <alignment horizontal="center"/>
    </xf>
    <xf numFmtId="3" fontId="21" fillId="7" borderId="81" xfId="0" applyNumberFormat="1" applyFont="1" applyFill="1" applyBorder="1" applyAlignment="1">
      <alignment horizontal="center"/>
    </xf>
    <xf numFmtId="166" fontId="39" fillId="0" borderId="16" xfId="0" applyNumberFormat="1" applyFont="1" applyBorder="1"/>
    <xf numFmtId="8" fontId="46" fillId="0" borderId="16" xfId="0" applyNumberFormat="1" applyFont="1" applyBorder="1"/>
    <xf numFmtId="8" fontId="46" fillId="15" borderId="16" xfId="0" applyNumberFormat="1" applyFont="1" applyFill="1" applyBorder="1"/>
    <xf numFmtId="164" fontId="43" fillId="0" borderId="7" xfId="0" applyNumberFormat="1" applyFont="1" applyBorder="1" applyAlignment="1">
      <alignment horizontal="center"/>
    </xf>
    <xf numFmtId="164" fontId="28" fillId="15" borderId="28" xfId="0" applyNumberFormat="1" applyFont="1" applyFill="1" applyBorder="1"/>
    <xf numFmtId="164" fontId="28" fillId="15" borderId="7" xfId="0" applyNumberFormat="1" applyFont="1" applyFill="1" applyBorder="1"/>
    <xf numFmtId="0" fontId="41" fillId="15" borderId="51" xfId="0" applyFont="1" applyFill="1" applyBorder="1"/>
    <xf numFmtId="8" fontId="0" fillId="15" borderId="16" xfId="0" applyNumberFormat="1" applyFill="1" applyBorder="1"/>
    <xf numFmtId="0" fontId="41" fillId="15" borderId="66" xfId="0" applyFont="1" applyFill="1" applyBorder="1" applyAlignment="1">
      <alignment horizontal="center"/>
    </xf>
    <xf numFmtId="8" fontId="46" fillId="0" borderId="66" xfId="0" applyNumberFormat="1" applyFont="1" applyBorder="1"/>
    <xf numFmtId="8" fontId="46" fillId="15" borderId="66" xfId="0" applyNumberFormat="1" applyFont="1" applyFill="1" applyBorder="1"/>
    <xf numFmtId="0" fontId="41" fillId="8" borderId="45" xfId="0" applyFont="1" applyFill="1" applyBorder="1" applyAlignment="1">
      <alignment horizontal="center"/>
    </xf>
    <xf numFmtId="166" fontId="41" fillId="5" borderId="45" xfId="0" applyNumberFormat="1" applyFont="1" applyFill="1" applyBorder="1"/>
    <xf numFmtId="164" fontId="36" fillId="2" borderId="11" xfId="0" applyNumberFormat="1" applyFont="1" applyFill="1" applyBorder="1" applyAlignment="1">
      <alignment horizontal="center"/>
    </xf>
    <xf numFmtId="14" fontId="36" fillId="2" borderId="12" xfId="0" applyNumberFormat="1" applyFont="1" applyFill="1" applyBorder="1" applyAlignment="1">
      <alignment horizontal="center"/>
    </xf>
    <xf numFmtId="0" fontId="25" fillId="19" borderId="13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 vertical="center" wrapText="1"/>
    </xf>
    <xf numFmtId="0" fontId="25" fillId="13" borderId="17" xfId="0" applyFont="1" applyFill="1" applyBorder="1" applyAlignment="1">
      <alignment horizontal="center"/>
    </xf>
    <xf numFmtId="0" fontId="24" fillId="13" borderId="106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113" xfId="0" applyBorder="1" applyAlignment="1">
      <alignment horizontal="center"/>
    </xf>
    <xf numFmtId="0" fontId="25" fillId="7" borderId="114" xfId="0" applyFont="1" applyFill="1" applyBorder="1" applyAlignment="1">
      <alignment horizontal="center"/>
    </xf>
    <xf numFmtId="8" fontId="21" fillId="15" borderId="66" xfId="0" applyNumberFormat="1" applyFont="1" applyFill="1" applyBorder="1"/>
    <xf numFmtId="8" fontId="21" fillId="15" borderId="16" xfId="0" applyNumberFormat="1" applyFont="1" applyFill="1" applyBorder="1"/>
    <xf numFmtId="3" fontId="0" fillId="0" borderId="0" xfId="0" applyNumberFormat="1"/>
    <xf numFmtId="164" fontId="43" fillId="5" borderId="65" xfId="0" applyNumberFormat="1" applyFont="1" applyFill="1" applyBorder="1" applyAlignment="1">
      <alignment horizontal="center"/>
    </xf>
    <xf numFmtId="166" fontId="42" fillId="0" borderId="7" xfId="0" applyNumberFormat="1" applyFont="1" applyBorder="1"/>
    <xf numFmtId="0" fontId="0" fillId="5" borderId="0" xfId="0" applyFill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0" fillId="5" borderId="0" xfId="0" applyFill="1" applyAlignment="1">
      <alignment horizontal="right" vertical="center"/>
    </xf>
    <xf numFmtId="14" fontId="23" fillId="0" borderId="48" xfId="0" applyNumberFormat="1" applyFont="1" applyBorder="1" applyAlignment="1">
      <alignment horizontal="center" vertical="center"/>
    </xf>
    <xf numFmtId="14" fontId="23" fillId="0" borderId="112" xfId="0" applyNumberFormat="1" applyFont="1" applyBorder="1" applyAlignment="1">
      <alignment horizontal="center" vertical="center"/>
    </xf>
    <xf numFmtId="165" fontId="24" fillId="3" borderId="36" xfId="0" applyNumberFormat="1" applyFont="1" applyFill="1" applyBorder="1" applyAlignment="1">
      <alignment horizontal="center" vertical="center" wrapText="1"/>
    </xf>
    <xf numFmtId="165" fontId="24" fillId="3" borderId="104" xfId="0" applyNumberFormat="1" applyFont="1" applyFill="1" applyBorder="1" applyAlignment="1">
      <alignment horizontal="center" vertical="center" wrapText="1"/>
    </xf>
    <xf numFmtId="0" fontId="32" fillId="9" borderId="16" xfId="0" applyFont="1" applyFill="1" applyBorder="1" applyAlignment="1">
      <alignment horizontal="center"/>
    </xf>
    <xf numFmtId="0" fontId="29" fillId="12" borderId="32" xfId="0" applyFont="1" applyFill="1" applyBorder="1" applyAlignment="1">
      <alignment horizontal="center" vertical="center"/>
    </xf>
    <xf numFmtId="0" fontId="29" fillId="12" borderId="105" xfId="0" applyFont="1" applyFill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103" xfId="0" applyNumberFormat="1" applyFont="1" applyBorder="1" applyAlignment="1">
      <alignment horizontal="center" vertical="center"/>
    </xf>
    <xf numFmtId="164" fontId="24" fillId="3" borderId="26" xfId="0" applyNumberFormat="1" applyFont="1" applyFill="1" applyBorder="1" applyAlignment="1">
      <alignment horizontal="center" vertical="center" wrapText="1"/>
    </xf>
    <xf numFmtId="164" fontId="24" fillId="3" borderId="102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14" fontId="23" fillId="0" borderId="4" xfId="0" applyNumberFormat="1" applyFont="1" applyBorder="1" applyAlignment="1">
      <alignment horizontal="center" vertical="center"/>
    </xf>
    <xf numFmtId="14" fontId="23" fillId="0" borderId="101" xfId="0" applyNumberFormat="1" applyFont="1" applyBorder="1" applyAlignment="1">
      <alignment horizontal="center" vertical="center"/>
    </xf>
    <xf numFmtId="14" fontId="23" fillId="0" borderId="33" xfId="0" applyNumberFormat="1" applyFont="1" applyBorder="1" applyAlignment="1">
      <alignment horizontal="center" vertical="center"/>
    </xf>
    <xf numFmtId="14" fontId="23" fillId="0" borderId="7" xfId="0" applyNumberFormat="1" applyFont="1" applyBorder="1" applyAlignment="1">
      <alignment horizontal="center" vertical="center"/>
    </xf>
    <xf numFmtId="164" fontId="24" fillId="3" borderId="3" xfId="0" applyNumberFormat="1" applyFont="1" applyFill="1" applyBorder="1" applyAlignment="1">
      <alignment horizontal="center" vertical="center" wrapText="1"/>
    </xf>
    <xf numFmtId="164" fontId="24" fillId="3" borderId="8" xfId="0" applyNumberFormat="1" applyFont="1" applyFill="1" applyBorder="1" applyAlignment="1">
      <alignment horizontal="center" vertical="center" wrapText="1"/>
    </xf>
    <xf numFmtId="14" fontId="23" fillId="0" borderId="9" xfId="0" applyNumberFormat="1" applyFont="1" applyBorder="1" applyAlignment="1">
      <alignment horizontal="center" vertical="center"/>
    </xf>
    <xf numFmtId="0" fontId="29" fillId="12" borderId="3" xfId="0" applyFont="1" applyFill="1" applyBorder="1" applyAlignment="1">
      <alignment horizontal="center" vertical="center"/>
    </xf>
    <xf numFmtId="0" fontId="29" fillId="12" borderId="36" xfId="0" applyFont="1" applyFill="1" applyBorder="1" applyAlignment="1">
      <alignment horizontal="center" vertical="center"/>
    </xf>
    <xf numFmtId="0" fontId="29" fillId="12" borderId="0" xfId="0" applyFont="1" applyFill="1" applyAlignment="1">
      <alignment horizontal="center" vertical="center"/>
    </xf>
    <xf numFmtId="0" fontId="29" fillId="12" borderId="40" xfId="0" applyFont="1" applyFill="1" applyBorder="1" applyAlignment="1">
      <alignment horizontal="center" vertical="center"/>
    </xf>
    <xf numFmtId="0" fontId="29" fillId="12" borderId="41" xfId="0" applyFont="1" applyFill="1" applyBorder="1" applyAlignment="1">
      <alignment horizontal="center" vertical="center"/>
    </xf>
    <xf numFmtId="0" fontId="29" fillId="12" borderId="29" xfId="0" applyFont="1" applyFill="1" applyBorder="1" applyAlignment="1">
      <alignment horizontal="center" vertical="center"/>
    </xf>
    <xf numFmtId="14" fontId="23" fillId="0" borderId="34" xfId="0" applyNumberFormat="1" applyFont="1" applyBorder="1" applyAlignment="1">
      <alignment horizontal="center" vertical="center"/>
    </xf>
    <xf numFmtId="14" fontId="23" fillId="0" borderId="35" xfId="0" applyNumberFormat="1" applyFont="1" applyBorder="1" applyAlignment="1">
      <alignment horizontal="center" vertical="center"/>
    </xf>
    <xf numFmtId="14" fontId="23" fillId="0" borderId="37" xfId="0" applyNumberFormat="1" applyFont="1" applyBorder="1" applyAlignment="1">
      <alignment horizontal="center" vertical="center"/>
    </xf>
    <xf numFmtId="14" fontId="23" fillId="0" borderId="38" xfId="0" applyNumberFormat="1" applyFont="1" applyBorder="1" applyAlignment="1">
      <alignment horizontal="center" vertical="center"/>
    </xf>
    <xf numFmtId="165" fontId="24" fillId="3" borderId="41" xfId="0" applyNumberFormat="1" applyFont="1" applyFill="1" applyBorder="1" applyAlignment="1">
      <alignment horizontal="center" vertical="center" wrapText="1"/>
    </xf>
    <xf numFmtId="14" fontId="23" fillId="0" borderId="3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9" borderId="16" xfId="0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164" fontId="5" fillId="3" borderId="26" xfId="0" applyNumberFormat="1" applyFont="1" applyFill="1" applyBorder="1" applyAlignment="1">
      <alignment horizontal="center" vertical="center" wrapText="1"/>
    </xf>
    <xf numFmtId="164" fontId="5" fillId="3" borderId="28" xfId="0" applyNumberFormat="1" applyFont="1" applyFill="1" applyBorder="1" applyAlignment="1">
      <alignment horizontal="center" vertical="center" wrapText="1"/>
    </xf>
    <xf numFmtId="0" fontId="2" fillId="12" borderId="3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36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2" borderId="40" xfId="0" applyFont="1" applyFill="1" applyBorder="1" applyAlignment="1">
      <alignment horizontal="center" vertical="center"/>
    </xf>
    <xf numFmtId="0" fontId="2" fillId="12" borderId="41" xfId="0" applyFont="1" applyFill="1" applyBorder="1" applyAlignment="1">
      <alignment horizontal="center" vertical="center"/>
    </xf>
    <xf numFmtId="0" fontId="2" fillId="12" borderId="29" xfId="0" applyFont="1" applyFill="1" applyBorder="1" applyAlignment="1">
      <alignment horizontal="center" vertical="center"/>
    </xf>
    <xf numFmtId="14" fontId="4" fillId="0" borderId="33" xfId="0" applyNumberFormat="1" applyFont="1" applyBorder="1" applyAlignment="1">
      <alignment horizontal="center" vertical="center"/>
    </xf>
    <xf numFmtId="14" fontId="4" fillId="0" borderId="34" xfId="0" applyNumberFormat="1" applyFont="1" applyBorder="1" applyAlignment="1">
      <alignment horizontal="center" vertical="center"/>
    </xf>
    <xf numFmtId="14" fontId="4" fillId="0" borderId="35" xfId="0" applyNumberFormat="1" applyFont="1" applyBorder="1" applyAlignment="1">
      <alignment horizontal="center" vertical="center"/>
    </xf>
    <xf numFmtId="14" fontId="4" fillId="0" borderId="37" xfId="0" applyNumberFormat="1" applyFont="1" applyBorder="1" applyAlignment="1">
      <alignment horizontal="center" vertical="center"/>
    </xf>
    <xf numFmtId="14" fontId="4" fillId="0" borderId="38" xfId="0" applyNumberFormat="1" applyFont="1" applyBorder="1" applyAlignment="1">
      <alignment horizontal="center" vertical="center"/>
    </xf>
    <xf numFmtId="14" fontId="4" fillId="0" borderId="39" xfId="0" applyNumberFormat="1" applyFont="1" applyBorder="1" applyAlignment="1">
      <alignment horizontal="center" vertical="center"/>
    </xf>
    <xf numFmtId="165" fontId="5" fillId="3" borderId="36" xfId="0" applyNumberFormat="1" applyFont="1" applyFill="1" applyBorder="1" applyAlignment="1">
      <alignment horizontal="center" vertical="center" wrapText="1"/>
    </xf>
    <xf numFmtId="165" fontId="5" fillId="3" borderId="41" xfId="0" applyNumberFormat="1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 wrapText="1"/>
    </xf>
    <xf numFmtId="164" fontId="5" fillId="3" borderId="8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47"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FFFFFF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B80E-3A56-4801-817F-D640FF9238D6}">
  <sheetPr>
    <tabColor theme="4" tint="0.59999389629810485"/>
  </sheetPr>
  <dimension ref="A1:T255"/>
  <sheetViews>
    <sheetView tabSelected="1" topLeftCell="A167" workbookViewId="0">
      <selection activeCell="E193" sqref="E193"/>
    </sheetView>
  </sheetViews>
  <sheetFormatPr defaultColWidth="9.1796875" defaultRowHeight="15" customHeight="1" x14ac:dyDescent="0.35"/>
  <cols>
    <col min="1" max="1" width="18.453125" customWidth="1"/>
    <col min="2" max="2" width="21" customWidth="1"/>
    <col min="3" max="3" width="16.453125" customWidth="1"/>
    <col min="4" max="4" width="16.1796875" customWidth="1"/>
    <col min="5" max="5" width="18.81640625" customWidth="1"/>
    <col min="6" max="6" width="19.54296875" customWidth="1"/>
    <col min="7" max="7" width="16.453125" customWidth="1"/>
    <col min="8" max="8" width="18.1796875" customWidth="1"/>
    <col min="9" max="9" width="16.26953125" bestFit="1" customWidth="1"/>
    <col min="10" max="10" width="15.81640625" bestFit="1" customWidth="1"/>
    <col min="11" max="11" width="17.81640625" customWidth="1"/>
    <col min="12" max="12" width="17.54296875" customWidth="1"/>
    <col min="13" max="13" width="17.453125" customWidth="1"/>
    <col min="14" max="15" width="43.90625" bestFit="1" customWidth="1"/>
    <col min="16" max="16" width="12.54296875" customWidth="1"/>
    <col min="17" max="17" width="15.1796875" customWidth="1"/>
    <col min="18" max="18" width="9.26953125" bestFit="1" customWidth="1"/>
    <col min="19" max="19" width="17.81640625" bestFit="1" customWidth="1"/>
    <col min="20" max="20" width="17.453125" bestFit="1" customWidth="1"/>
  </cols>
  <sheetData>
    <row r="1" spans="1:15" ht="17.5" customHeight="1" thickBot="1" x14ac:dyDescent="0.5">
      <c r="A1" s="262"/>
      <c r="B1" s="930" t="s">
        <v>0</v>
      </c>
      <c r="C1" s="930"/>
      <c r="D1" s="930"/>
      <c r="E1" s="930"/>
      <c r="F1" s="930"/>
      <c r="G1" s="262"/>
      <c r="H1" s="262"/>
      <c r="I1" s="262"/>
      <c r="J1" s="262"/>
      <c r="K1" s="262"/>
      <c r="L1" s="262"/>
      <c r="M1" s="262"/>
    </row>
    <row r="2" spans="1:15" ht="15.65" customHeight="1" thickBot="1" x14ac:dyDescent="0.45">
      <c r="A2" s="348"/>
      <c r="B2" s="926" t="s">
        <v>1</v>
      </c>
      <c r="C2" s="928" t="s">
        <v>0</v>
      </c>
      <c r="D2" s="298" t="s">
        <v>2</v>
      </c>
      <c r="E2" s="184" t="s">
        <v>3</v>
      </c>
      <c r="F2" s="772" t="s">
        <v>4</v>
      </c>
      <c r="G2" s="774" t="s">
        <v>5</v>
      </c>
      <c r="H2" s="186" t="s">
        <v>6</v>
      </c>
      <c r="I2" s="910" t="s">
        <v>7</v>
      </c>
      <c r="K2" s="349"/>
      <c r="L2" s="349"/>
      <c r="M2" s="349"/>
      <c r="O2" s="349"/>
    </row>
    <row r="3" spans="1:15" ht="30.75" customHeight="1" x14ac:dyDescent="0.4">
      <c r="A3" s="497"/>
      <c r="B3" s="927"/>
      <c r="C3" s="929"/>
      <c r="D3" s="299" t="s">
        <v>0</v>
      </c>
      <c r="E3" s="498" t="s">
        <v>0</v>
      </c>
      <c r="F3" s="772" t="s">
        <v>0</v>
      </c>
      <c r="G3" s="664" t="s">
        <v>0</v>
      </c>
      <c r="H3" s="665" t="s">
        <v>8</v>
      </c>
      <c r="I3" s="666" t="s">
        <v>1231</v>
      </c>
      <c r="K3" s="262"/>
      <c r="L3" s="262"/>
      <c r="M3" s="262"/>
      <c r="N3" s="262"/>
      <c r="O3" s="262"/>
    </row>
    <row r="4" spans="1:15" ht="14.5" x14ac:dyDescent="0.35">
      <c r="A4" s="192" t="s">
        <v>10</v>
      </c>
      <c r="B4" s="193">
        <v>45778</v>
      </c>
      <c r="C4" s="194">
        <v>4037</v>
      </c>
      <c r="D4" s="195">
        <v>122</v>
      </c>
      <c r="E4" s="286">
        <v>0</v>
      </c>
      <c r="F4" s="673">
        <v>3</v>
      </c>
      <c r="G4" s="858">
        <v>2</v>
      </c>
      <c r="H4" s="848" t="s">
        <v>11</v>
      </c>
      <c r="I4" s="733">
        <v>20</v>
      </c>
      <c r="K4" s="262"/>
      <c r="L4" s="923" t="s">
        <v>12</v>
      </c>
      <c r="M4" s="923"/>
      <c r="N4" s="262"/>
      <c r="O4" s="262"/>
    </row>
    <row r="5" spans="1:15" ht="14.5" x14ac:dyDescent="0.35">
      <c r="A5" s="192" t="s">
        <v>13</v>
      </c>
      <c r="B5" s="193">
        <v>45779</v>
      </c>
      <c r="C5" s="200">
        <v>1915</v>
      </c>
      <c r="D5" s="201">
        <v>109</v>
      </c>
      <c r="E5" s="557">
        <v>0</v>
      </c>
      <c r="F5" s="859">
        <v>5</v>
      </c>
      <c r="G5" s="674">
        <v>2</v>
      </c>
      <c r="H5" s="736" t="s">
        <v>14</v>
      </c>
      <c r="I5" s="734">
        <v>19</v>
      </c>
      <c r="K5" s="262"/>
      <c r="L5" s="503" t="s">
        <v>15</v>
      </c>
      <c r="M5" s="365">
        <v>72000</v>
      </c>
      <c r="N5" s="262"/>
      <c r="O5" s="262"/>
    </row>
    <row r="6" spans="1:15" ht="14.5" x14ac:dyDescent="0.35">
      <c r="A6" s="192" t="s">
        <v>16</v>
      </c>
      <c r="B6" s="193">
        <v>45780</v>
      </c>
      <c r="C6" s="205">
        <v>2848</v>
      </c>
      <c r="D6" s="206">
        <v>243</v>
      </c>
      <c r="E6" s="612">
        <v>0</v>
      </c>
      <c r="F6" s="619">
        <v>0</v>
      </c>
      <c r="G6" s="686">
        <v>5</v>
      </c>
      <c r="H6" s="844"/>
      <c r="I6" s="735">
        <v>21</v>
      </c>
      <c r="K6" s="262"/>
      <c r="L6" s="504" t="s">
        <v>17</v>
      </c>
      <c r="M6" s="371">
        <v>2500</v>
      </c>
      <c r="N6" s="262"/>
      <c r="O6" s="262"/>
    </row>
    <row r="7" spans="1:15" ht="14.5" x14ac:dyDescent="0.35">
      <c r="A7" s="192" t="s">
        <v>18</v>
      </c>
      <c r="B7" s="193">
        <v>45781</v>
      </c>
      <c r="C7" s="209"/>
      <c r="D7" s="210"/>
      <c r="E7" s="287"/>
      <c r="F7" s="243"/>
      <c r="G7" s="686"/>
      <c r="H7" s="844"/>
      <c r="I7" s="735"/>
      <c r="K7" s="262"/>
      <c r="L7" s="515" t="s">
        <v>19</v>
      </c>
      <c r="M7" s="376">
        <v>30</v>
      </c>
      <c r="N7" s="262"/>
      <c r="O7" s="262"/>
    </row>
    <row r="8" spans="1:15" ht="14.5" x14ac:dyDescent="0.35">
      <c r="A8" s="192" t="s">
        <v>20</v>
      </c>
      <c r="B8" s="193">
        <v>45782</v>
      </c>
      <c r="C8" s="205">
        <v>3863</v>
      </c>
      <c r="D8" s="206">
        <v>170</v>
      </c>
      <c r="E8" s="612">
        <v>0</v>
      </c>
      <c r="F8" s="670">
        <v>0</v>
      </c>
      <c r="G8" s="675">
        <v>3</v>
      </c>
      <c r="H8" s="844" t="s">
        <v>21</v>
      </c>
      <c r="I8" s="735">
        <v>20</v>
      </c>
      <c r="K8" s="262"/>
      <c r="L8" s="836"/>
      <c r="M8" s="837"/>
      <c r="N8" s="262"/>
      <c r="O8" s="262"/>
    </row>
    <row r="9" spans="1:15" ht="14.5" x14ac:dyDescent="0.35">
      <c r="A9" s="192" t="s">
        <v>22</v>
      </c>
      <c r="B9" s="193">
        <v>45783</v>
      </c>
      <c r="C9" s="212">
        <v>1785</v>
      </c>
      <c r="D9" s="213">
        <v>58</v>
      </c>
      <c r="E9" s="611">
        <v>0</v>
      </c>
      <c r="F9" s="672">
        <v>2</v>
      </c>
      <c r="G9" s="676">
        <v>1</v>
      </c>
      <c r="H9" s="845" t="s">
        <v>23</v>
      </c>
      <c r="I9" s="734">
        <v>15</v>
      </c>
      <c r="K9" s="262"/>
      <c r="N9" s="918" t="s">
        <v>1233</v>
      </c>
      <c r="O9" s="917" t="s">
        <v>1232</v>
      </c>
    </row>
    <row r="10" spans="1:15" ht="14.5" x14ac:dyDescent="0.35">
      <c r="A10" s="192" t="s">
        <v>24</v>
      </c>
      <c r="B10" s="193">
        <v>45784</v>
      </c>
      <c r="C10" s="214">
        <v>1034</v>
      </c>
      <c r="D10" s="195">
        <v>138</v>
      </c>
      <c r="E10" s="615">
        <v>0</v>
      </c>
      <c r="F10" s="246">
        <v>1</v>
      </c>
      <c r="G10" s="254">
        <v>0</v>
      </c>
      <c r="H10" s="736" t="s">
        <v>25</v>
      </c>
      <c r="I10" s="736">
        <v>12</v>
      </c>
      <c r="K10" s="262"/>
      <c r="L10" s="262"/>
      <c r="M10" s="262"/>
      <c r="N10" s="262"/>
      <c r="O10" s="262"/>
    </row>
    <row r="11" spans="1:15" ht="14.5" x14ac:dyDescent="0.35">
      <c r="A11" s="192" t="s">
        <v>10</v>
      </c>
      <c r="B11" s="193">
        <v>45785</v>
      </c>
      <c r="C11" s="217">
        <v>2639</v>
      </c>
      <c r="D11" s="218">
        <v>174</v>
      </c>
      <c r="E11" s="691">
        <v>0</v>
      </c>
      <c r="F11" s="730">
        <v>2</v>
      </c>
      <c r="G11" s="729">
        <v>4</v>
      </c>
      <c r="H11" s="737" t="s">
        <v>26</v>
      </c>
      <c r="I11" s="737">
        <v>16</v>
      </c>
      <c r="K11" s="262"/>
      <c r="L11" s="262"/>
      <c r="M11" s="262"/>
      <c r="N11" s="262"/>
      <c r="O11" s="262"/>
    </row>
    <row r="12" spans="1:15" ht="14.5" x14ac:dyDescent="0.35">
      <c r="A12" s="192" t="s">
        <v>13</v>
      </c>
      <c r="B12" s="193">
        <v>45786</v>
      </c>
      <c r="C12" s="221">
        <v>1979</v>
      </c>
      <c r="D12" s="222">
        <v>69</v>
      </c>
      <c r="E12" s="692">
        <v>0</v>
      </c>
      <c r="F12" s="731">
        <v>0</v>
      </c>
      <c r="G12" s="732">
        <v>3</v>
      </c>
      <c r="H12" s="738" t="s">
        <v>27</v>
      </c>
      <c r="I12" s="738">
        <v>15</v>
      </c>
      <c r="K12" s="262"/>
      <c r="L12" s="262"/>
      <c r="M12" s="262"/>
      <c r="N12" s="262"/>
      <c r="O12" s="262"/>
    </row>
    <row r="13" spans="1:15" ht="14.5" x14ac:dyDescent="0.35">
      <c r="A13" s="192" t="s">
        <v>16</v>
      </c>
      <c r="B13" s="193">
        <v>45787</v>
      </c>
      <c r="C13" s="225">
        <v>3003</v>
      </c>
      <c r="D13" s="226">
        <v>261</v>
      </c>
      <c r="E13" s="227">
        <v>0</v>
      </c>
      <c r="F13" s="227">
        <v>2</v>
      </c>
      <c r="G13" s="679">
        <v>6</v>
      </c>
      <c r="H13" s="739" t="s">
        <v>28</v>
      </c>
      <c r="I13" s="739">
        <v>29</v>
      </c>
      <c r="K13" s="262"/>
      <c r="L13" s="262"/>
      <c r="M13" s="262"/>
      <c r="N13" s="262"/>
      <c r="O13" s="262"/>
    </row>
    <row r="14" spans="1:15" ht="14.5" x14ac:dyDescent="0.35">
      <c r="A14" s="192" t="s">
        <v>18</v>
      </c>
      <c r="B14" s="193">
        <v>45788</v>
      </c>
      <c r="C14" s="229"/>
      <c r="D14" s="230"/>
      <c r="E14" s="231"/>
      <c r="F14" s="231"/>
      <c r="G14" s="680"/>
      <c r="H14" s="740"/>
      <c r="I14" s="740"/>
      <c r="K14" s="262"/>
      <c r="L14" s="262"/>
      <c r="M14" s="262"/>
      <c r="N14" s="262"/>
      <c r="O14" s="262"/>
    </row>
    <row r="15" spans="1:15" ht="14.5" x14ac:dyDescent="0.35">
      <c r="A15" s="192" t="s">
        <v>20</v>
      </c>
      <c r="B15" s="193">
        <v>45789</v>
      </c>
      <c r="C15" s="225">
        <v>3595</v>
      </c>
      <c r="D15" s="226">
        <v>214</v>
      </c>
      <c r="E15" s="227">
        <v>1</v>
      </c>
      <c r="F15" s="227">
        <v>2</v>
      </c>
      <c r="G15" s="679">
        <v>4</v>
      </c>
      <c r="H15" s="846" t="s">
        <v>29</v>
      </c>
      <c r="I15" s="739">
        <v>20</v>
      </c>
      <c r="K15" s="262"/>
      <c r="L15" s="262"/>
      <c r="M15" s="262"/>
      <c r="N15" s="262"/>
      <c r="O15" s="262"/>
    </row>
    <row r="16" spans="1:15" ht="14.5" x14ac:dyDescent="0.35">
      <c r="A16" s="192" t="s">
        <v>22</v>
      </c>
      <c r="B16" s="193">
        <v>45790</v>
      </c>
      <c r="C16" s="233">
        <v>2630</v>
      </c>
      <c r="D16" s="234">
        <v>145</v>
      </c>
      <c r="E16" s="235">
        <v>0</v>
      </c>
      <c r="F16" s="235">
        <v>1</v>
      </c>
      <c r="G16" s="681">
        <v>3</v>
      </c>
      <c r="H16" s="847" t="s">
        <v>30</v>
      </c>
      <c r="I16" s="741">
        <v>18</v>
      </c>
      <c r="K16" s="262"/>
      <c r="L16" s="262"/>
      <c r="M16" s="262"/>
      <c r="N16" s="262"/>
      <c r="O16" s="262"/>
    </row>
    <row r="17" spans="1:15" ht="14.5" x14ac:dyDescent="0.35">
      <c r="A17" s="192" t="s">
        <v>24</v>
      </c>
      <c r="B17" s="193">
        <v>45791</v>
      </c>
      <c r="C17" s="225">
        <v>3243</v>
      </c>
      <c r="D17" s="226">
        <v>195</v>
      </c>
      <c r="E17" s="227">
        <v>0</v>
      </c>
      <c r="F17" s="227">
        <v>2</v>
      </c>
      <c r="G17" s="679">
        <v>3</v>
      </c>
      <c r="H17" s="846" t="s">
        <v>31</v>
      </c>
      <c r="I17" s="739">
        <v>19</v>
      </c>
      <c r="K17" s="262"/>
      <c r="L17" s="262"/>
      <c r="M17" s="262"/>
      <c r="N17" s="262"/>
      <c r="O17" s="262"/>
    </row>
    <row r="18" spans="1:15" ht="14.5" x14ac:dyDescent="0.35">
      <c r="A18" s="192" t="s">
        <v>10</v>
      </c>
      <c r="B18" s="193">
        <v>45792</v>
      </c>
      <c r="C18" s="233">
        <v>1313</v>
      </c>
      <c r="D18" s="195">
        <v>167</v>
      </c>
      <c r="E18" s="215">
        <v>0</v>
      </c>
      <c r="F18" s="215">
        <v>1</v>
      </c>
      <c r="G18" s="682">
        <v>2</v>
      </c>
      <c r="H18" s="848" t="s">
        <v>32</v>
      </c>
      <c r="I18" s="736">
        <v>15</v>
      </c>
      <c r="K18" s="262"/>
      <c r="L18" s="262"/>
      <c r="M18" s="262"/>
      <c r="N18" s="262"/>
      <c r="O18" s="262"/>
    </row>
    <row r="19" spans="1:15" ht="14.5" x14ac:dyDescent="0.35">
      <c r="A19" s="192" t="s">
        <v>13</v>
      </c>
      <c r="B19" s="193">
        <v>45793</v>
      </c>
      <c r="C19" s="209">
        <v>3127</v>
      </c>
      <c r="D19" s="213">
        <v>112</v>
      </c>
      <c r="E19" s="203">
        <v>0</v>
      </c>
      <c r="F19" s="203">
        <v>1</v>
      </c>
      <c r="G19" s="676">
        <v>7</v>
      </c>
      <c r="H19" s="845" t="s">
        <v>33</v>
      </c>
      <c r="I19" s="734">
        <v>20</v>
      </c>
      <c r="K19" s="262"/>
      <c r="L19" s="262"/>
      <c r="M19" s="262"/>
      <c r="N19" s="262"/>
      <c r="O19" s="262"/>
    </row>
    <row r="20" spans="1:15" ht="14.5" x14ac:dyDescent="0.35">
      <c r="A20" s="192" t="s">
        <v>16</v>
      </c>
      <c r="B20" s="193">
        <v>45794</v>
      </c>
      <c r="C20" s="233">
        <v>1888</v>
      </c>
      <c r="D20" s="234">
        <v>145</v>
      </c>
      <c r="E20" s="215">
        <v>0</v>
      </c>
      <c r="F20" s="215">
        <v>2</v>
      </c>
      <c r="G20" s="682">
        <v>9</v>
      </c>
      <c r="H20" s="848" t="s">
        <v>34</v>
      </c>
      <c r="I20" s="736">
        <v>16</v>
      </c>
      <c r="K20" s="262"/>
      <c r="L20" s="262"/>
      <c r="M20" s="262"/>
      <c r="N20" s="262"/>
      <c r="O20" s="262"/>
    </row>
    <row r="21" spans="1:15" ht="14.5" x14ac:dyDescent="0.35">
      <c r="A21" s="192" t="s">
        <v>18</v>
      </c>
      <c r="B21" s="193">
        <v>45795</v>
      </c>
      <c r="C21" s="237"/>
      <c r="D21" s="238"/>
      <c r="E21" s="239"/>
      <c r="F21" s="239"/>
      <c r="G21" s="683"/>
      <c r="H21" s="849"/>
      <c r="I21" s="742"/>
      <c r="K21" s="262"/>
      <c r="L21" s="262"/>
      <c r="M21" s="262"/>
      <c r="N21" s="262"/>
      <c r="O21" s="262"/>
    </row>
    <row r="22" spans="1:15" ht="14.5" x14ac:dyDescent="0.35">
      <c r="A22" s="192" t="s">
        <v>20</v>
      </c>
      <c r="B22" s="193">
        <v>45796</v>
      </c>
      <c r="C22" s="214">
        <v>3182</v>
      </c>
      <c r="D22" s="195">
        <v>156</v>
      </c>
      <c r="E22" s="215">
        <v>0</v>
      </c>
      <c r="F22" s="215">
        <v>1</v>
      </c>
      <c r="G22" s="682">
        <v>1</v>
      </c>
      <c r="H22" s="262" t="s">
        <v>35</v>
      </c>
      <c r="I22" s="736">
        <v>18</v>
      </c>
      <c r="K22" s="262"/>
      <c r="L22" s="262"/>
      <c r="M22" s="262"/>
      <c r="N22" s="262"/>
      <c r="O22" s="262"/>
    </row>
    <row r="23" spans="1:15" ht="14.5" x14ac:dyDescent="0.35">
      <c r="A23" s="192" t="s">
        <v>22</v>
      </c>
      <c r="B23" s="193">
        <v>45797</v>
      </c>
      <c r="C23" s="237">
        <v>2880</v>
      </c>
      <c r="D23" s="238">
        <v>174</v>
      </c>
      <c r="E23" s="239">
        <v>0</v>
      </c>
      <c r="F23" s="239">
        <v>3</v>
      </c>
      <c r="G23" s="683">
        <v>6</v>
      </c>
      <c r="H23" s="848" t="s">
        <v>36</v>
      </c>
      <c r="I23" s="742">
        <v>18</v>
      </c>
      <c r="K23" s="262"/>
      <c r="L23" s="262"/>
      <c r="M23" s="262"/>
      <c r="N23" s="262"/>
      <c r="O23" s="262"/>
    </row>
    <row r="24" spans="1:15" ht="14.5" x14ac:dyDescent="0.35">
      <c r="A24" s="192" t="s">
        <v>24</v>
      </c>
      <c r="B24" s="193">
        <v>45798</v>
      </c>
      <c r="C24" s="205">
        <v>2013</v>
      </c>
      <c r="D24" s="206">
        <v>145</v>
      </c>
      <c r="E24" s="207">
        <v>0</v>
      </c>
      <c r="F24" s="207">
        <v>0</v>
      </c>
      <c r="G24" s="675">
        <v>2</v>
      </c>
      <c r="H24" s="844" t="s">
        <v>1227</v>
      </c>
      <c r="I24" s="735">
        <v>17</v>
      </c>
      <c r="K24" s="262"/>
      <c r="L24" s="262"/>
      <c r="M24" s="262"/>
      <c r="N24" s="262"/>
      <c r="O24" s="262"/>
    </row>
    <row r="25" spans="1:15" ht="14.5" x14ac:dyDescent="0.35">
      <c r="A25" s="192" t="s">
        <v>10</v>
      </c>
      <c r="B25" s="193">
        <v>45799</v>
      </c>
      <c r="C25" s="209"/>
      <c r="D25" s="210"/>
      <c r="E25" s="211"/>
      <c r="F25" s="211"/>
      <c r="G25" s="684"/>
      <c r="H25" s="850" t="s">
        <v>1234</v>
      </c>
      <c r="I25" s="743"/>
      <c r="K25" s="262"/>
      <c r="L25" s="262"/>
      <c r="M25" s="262"/>
      <c r="N25" s="262"/>
      <c r="O25" s="262"/>
    </row>
    <row r="26" spans="1:15" ht="14.5" x14ac:dyDescent="0.35">
      <c r="A26" s="192" t="s">
        <v>13</v>
      </c>
      <c r="B26" s="193">
        <v>45800</v>
      </c>
      <c r="C26" s="233"/>
      <c r="D26" s="234"/>
      <c r="E26" s="235"/>
      <c r="F26" s="235"/>
      <c r="G26" s="681"/>
      <c r="H26" s="847"/>
      <c r="I26" s="741"/>
      <c r="K26" s="262"/>
      <c r="L26" s="262"/>
      <c r="M26" s="262"/>
      <c r="N26" s="262"/>
      <c r="O26" s="262"/>
    </row>
    <row r="27" spans="1:15" ht="14.5" x14ac:dyDescent="0.35">
      <c r="A27" s="192" t="s">
        <v>16</v>
      </c>
      <c r="B27" s="193">
        <v>45801</v>
      </c>
      <c r="C27" s="237"/>
      <c r="D27" s="238"/>
      <c r="E27" s="239"/>
      <c r="F27" s="239"/>
      <c r="G27" s="683"/>
      <c r="H27" s="849"/>
      <c r="I27" s="742"/>
      <c r="K27" s="262"/>
      <c r="L27" s="262"/>
      <c r="M27" s="262"/>
      <c r="N27" s="262"/>
      <c r="O27" s="262"/>
    </row>
    <row r="28" spans="1:15" ht="14.5" x14ac:dyDescent="0.35">
      <c r="A28" s="192" t="s">
        <v>18</v>
      </c>
      <c r="B28" s="193">
        <v>45802</v>
      </c>
      <c r="C28" s="233"/>
      <c r="D28" s="234"/>
      <c r="E28" s="235"/>
      <c r="F28" s="235"/>
      <c r="G28" s="681"/>
      <c r="H28" s="847"/>
      <c r="I28" s="741"/>
      <c r="K28" s="262"/>
      <c r="L28" s="262"/>
      <c r="M28" s="262"/>
      <c r="N28" s="262"/>
      <c r="O28" s="262"/>
    </row>
    <row r="29" spans="1:15" ht="14.5" x14ac:dyDescent="0.35">
      <c r="A29" s="192" t="s">
        <v>20</v>
      </c>
      <c r="B29" s="193">
        <v>45803</v>
      </c>
      <c r="C29" s="209"/>
      <c r="D29" s="242"/>
      <c r="E29" s="243"/>
      <c r="F29" s="244"/>
      <c r="G29" s="684"/>
      <c r="H29" s="850"/>
      <c r="I29" s="743"/>
      <c r="K29" s="262"/>
      <c r="L29" s="262"/>
      <c r="M29" s="262"/>
      <c r="N29" s="262"/>
      <c r="O29" s="262"/>
    </row>
    <row r="30" spans="1:15" ht="14.5" x14ac:dyDescent="0.35">
      <c r="A30" s="192" t="s">
        <v>22</v>
      </c>
      <c r="B30" s="193">
        <v>45804</v>
      </c>
      <c r="C30" s="214"/>
      <c r="D30" s="245"/>
      <c r="E30" s="246"/>
      <c r="F30" s="247"/>
      <c r="G30" s="246"/>
      <c r="H30" s="848"/>
      <c r="I30" s="736"/>
      <c r="K30" s="262"/>
      <c r="L30" s="262"/>
      <c r="M30" s="508"/>
      <c r="N30" s="262"/>
      <c r="O30" s="262"/>
    </row>
    <row r="31" spans="1:15" ht="14.5" x14ac:dyDescent="0.35">
      <c r="A31" s="192" t="s">
        <v>24</v>
      </c>
      <c r="B31" s="193">
        <v>45805</v>
      </c>
      <c r="C31" s="214"/>
      <c r="D31" s="249"/>
      <c r="E31" s="246"/>
      <c r="F31" s="247"/>
      <c r="G31" s="682"/>
      <c r="H31" s="848"/>
      <c r="I31" s="736"/>
      <c r="K31" s="262"/>
      <c r="L31" s="262"/>
      <c r="M31" s="508"/>
      <c r="N31" s="262"/>
      <c r="O31" s="262"/>
    </row>
    <row r="32" spans="1:15" ht="14.5" x14ac:dyDescent="0.35">
      <c r="A32" s="192" t="s">
        <v>10</v>
      </c>
      <c r="B32" s="193">
        <v>45806</v>
      </c>
      <c r="C32" s="214"/>
      <c r="D32" s="249"/>
      <c r="E32" s="246"/>
      <c r="F32" s="247"/>
      <c r="G32" s="682"/>
      <c r="H32" s="848"/>
      <c r="I32" s="736"/>
      <c r="K32" s="262"/>
      <c r="L32" s="262"/>
      <c r="M32" s="508"/>
      <c r="N32" s="262"/>
      <c r="O32" s="262"/>
    </row>
    <row r="33" spans="1:15" ht="14.5" x14ac:dyDescent="0.35">
      <c r="A33" s="192" t="s">
        <v>13</v>
      </c>
      <c r="B33" s="193">
        <v>45807</v>
      </c>
      <c r="C33" s="252"/>
      <c r="D33" s="253"/>
      <c r="E33" s="246"/>
      <c r="F33" s="254"/>
      <c r="G33" s="682"/>
      <c r="H33" s="848"/>
      <c r="I33" s="736"/>
      <c r="K33" s="262"/>
      <c r="L33" s="262"/>
      <c r="M33" s="262"/>
      <c r="N33" s="262"/>
      <c r="O33" s="262"/>
    </row>
    <row r="34" spans="1:15" thickBot="1" x14ac:dyDescent="0.4">
      <c r="A34" s="192" t="s">
        <v>16</v>
      </c>
      <c r="B34" s="193">
        <v>45808</v>
      </c>
      <c r="C34" s="252"/>
      <c r="D34" s="252"/>
      <c r="E34" s="246"/>
      <c r="F34" s="246"/>
      <c r="G34" s="685"/>
      <c r="H34" s="848"/>
      <c r="I34" s="736"/>
      <c r="K34" s="262"/>
      <c r="L34" s="262"/>
      <c r="M34" s="508"/>
      <c r="N34" s="262"/>
      <c r="O34" s="262"/>
    </row>
    <row r="35" spans="1:15" thickBot="1" x14ac:dyDescent="0.4">
      <c r="A35" s="257"/>
      <c r="B35" s="651"/>
      <c r="C35" s="653">
        <f t="shared" ref="C35:F35" si="0">SUM(C4:C34)</f>
        <v>46974</v>
      </c>
      <c r="D35" s="654">
        <f t="shared" si="0"/>
        <v>2797</v>
      </c>
      <c r="E35" s="655">
        <f t="shared" si="0"/>
        <v>1</v>
      </c>
      <c r="F35" s="884">
        <f t="shared" si="0"/>
        <v>28</v>
      </c>
      <c r="G35" s="885">
        <f>SUM(G4:G34)</f>
        <v>63</v>
      </c>
      <c r="H35" s="886"/>
      <c r="I35" s="887"/>
      <c r="K35" s="262"/>
      <c r="L35" s="262"/>
      <c r="M35" s="262"/>
      <c r="N35" s="262"/>
      <c r="O35" s="262"/>
    </row>
    <row r="36" spans="1:15" ht="14.5" x14ac:dyDescent="0.35">
      <c r="A36" s="262"/>
      <c r="B36" s="474"/>
      <c r="C36" s="509"/>
      <c r="D36" s="510"/>
      <c r="E36" s="475"/>
      <c r="F36" s="652"/>
      <c r="G36" s="262"/>
      <c r="H36" s="262"/>
      <c r="I36" s="262"/>
      <c r="J36" s="262"/>
      <c r="K36" s="262"/>
      <c r="L36" s="262"/>
      <c r="M36" s="262"/>
    </row>
    <row r="37" spans="1:15" ht="14.5" x14ac:dyDescent="0.35">
      <c r="A37" s="262"/>
      <c r="B37" s="474"/>
      <c r="C37" s="508"/>
      <c r="D37" s="508"/>
      <c r="E37" s="475"/>
      <c r="F37" s="511"/>
      <c r="G37" s="262"/>
      <c r="H37" s="262"/>
      <c r="I37" s="262"/>
      <c r="J37" s="262"/>
      <c r="K37" s="262"/>
      <c r="L37" s="262"/>
      <c r="M37" s="262"/>
    </row>
    <row r="38" spans="1:15" ht="14.5" x14ac:dyDescent="0.35">
      <c r="A38" s="262"/>
      <c r="B38" s="474"/>
      <c r="C38" s="475"/>
      <c r="D38" s="508"/>
      <c r="E38" s="475"/>
      <c r="F38" s="511"/>
      <c r="G38" s="262"/>
      <c r="H38" s="262"/>
      <c r="I38" s="262"/>
      <c r="J38" s="262"/>
      <c r="K38" s="262"/>
      <c r="L38" s="262"/>
      <c r="M38" s="262"/>
    </row>
    <row r="39" spans="1:15" ht="14.5" x14ac:dyDescent="0.35">
      <c r="A39" s="262"/>
      <c r="B39" s="474"/>
      <c r="C39" s="508"/>
      <c r="D39" s="508"/>
      <c r="E39" s="508"/>
      <c r="F39" s="262"/>
      <c r="G39" s="262"/>
      <c r="H39" s="262"/>
      <c r="I39" s="262"/>
      <c r="J39" s="262"/>
      <c r="K39" s="262"/>
      <c r="L39" s="262"/>
      <c r="M39" s="262"/>
    </row>
    <row r="40" spans="1:15" ht="19" thickBot="1" x14ac:dyDescent="0.5">
      <c r="A40" s="262"/>
      <c r="B40" s="474"/>
      <c r="C40" s="508"/>
      <c r="D40" s="512"/>
      <c r="E40" s="508"/>
      <c r="F40" s="262"/>
      <c r="G40" s="262"/>
      <c r="H40" s="262"/>
      <c r="I40" s="262"/>
      <c r="J40" s="262"/>
      <c r="K40" s="262"/>
      <c r="L40" s="262"/>
      <c r="M40" s="262"/>
    </row>
    <row r="41" spans="1:15" ht="15.65" customHeight="1" thickBot="1" x14ac:dyDescent="0.45">
      <c r="A41" s="348"/>
      <c r="B41" s="931" t="s">
        <v>37</v>
      </c>
      <c r="C41" s="928" t="s">
        <v>0</v>
      </c>
      <c r="D41" s="298" t="s">
        <v>2</v>
      </c>
      <c r="E41" s="184" t="s">
        <v>3</v>
      </c>
      <c r="F41" s="772" t="s">
        <v>4</v>
      </c>
      <c r="G41" s="774" t="s">
        <v>5</v>
      </c>
      <c r="H41" s="186" t="s">
        <v>6</v>
      </c>
      <c r="I41" s="773" t="s">
        <v>7</v>
      </c>
      <c r="M41" s="349"/>
      <c r="O41" s="349"/>
    </row>
    <row r="42" spans="1:15" ht="29.25" customHeight="1" x14ac:dyDescent="0.4">
      <c r="A42" s="497"/>
      <c r="B42" s="932"/>
      <c r="C42" s="929"/>
      <c r="D42" s="299" t="s">
        <v>0</v>
      </c>
      <c r="E42" s="188" t="s">
        <v>0</v>
      </c>
      <c r="F42" s="772" t="s">
        <v>0</v>
      </c>
      <c r="G42" s="664" t="s">
        <v>0</v>
      </c>
      <c r="H42" s="665" t="s">
        <v>8</v>
      </c>
      <c r="I42" s="666" t="s">
        <v>1231</v>
      </c>
      <c r="M42" s="262"/>
      <c r="O42" s="262"/>
    </row>
    <row r="43" spans="1:15" ht="14.5" x14ac:dyDescent="0.35">
      <c r="A43" s="192" t="s">
        <v>10</v>
      </c>
      <c r="B43" s="193">
        <v>45778</v>
      </c>
      <c r="C43" s="194">
        <v>1617</v>
      </c>
      <c r="D43" s="195">
        <v>0</v>
      </c>
      <c r="E43" s="286">
        <v>0</v>
      </c>
      <c r="F43" s="855">
        <v>0</v>
      </c>
      <c r="G43" s="727">
        <v>1</v>
      </c>
      <c r="H43" s="869" t="s">
        <v>38</v>
      </c>
      <c r="I43" s="744">
        <v>12</v>
      </c>
      <c r="K43" s="923" t="s">
        <v>12</v>
      </c>
      <c r="L43" s="923"/>
      <c r="M43" s="262"/>
      <c r="O43" s="262"/>
    </row>
    <row r="44" spans="1:15" ht="14.5" x14ac:dyDescent="0.35">
      <c r="A44" s="192" t="s">
        <v>13</v>
      </c>
      <c r="B44" s="193">
        <v>45779</v>
      </c>
      <c r="C44" s="212">
        <v>1914</v>
      </c>
      <c r="D44" s="213">
        <v>25</v>
      </c>
      <c r="E44" s="203">
        <v>0</v>
      </c>
      <c r="F44" s="676">
        <v>0</v>
      </c>
      <c r="G44" s="690">
        <v>2</v>
      </c>
      <c r="H44" s="736" t="s">
        <v>39</v>
      </c>
      <c r="I44" s="745">
        <v>11</v>
      </c>
      <c r="K44" s="513" t="s">
        <v>15</v>
      </c>
      <c r="L44" s="409">
        <v>56000</v>
      </c>
      <c r="M44" s="262"/>
      <c r="O44" s="262"/>
    </row>
    <row r="45" spans="1:15" ht="14.5" x14ac:dyDescent="0.35">
      <c r="A45" s="192" t="s">
        <v>16</v>
      </c>
      <c r="B45" s="193">
        <v>45780</v>
      </c>
      <c r="C45" s="205">
        <v>895</v>
      </c>
      <c r="D45" s="206">
        <v>60</v>
      </c>
      <c r="E45" s="207">
        <v>0</v>
      </c>
      <c r="F45" s="675">
        <v>0</v>
      </c>
      <c r="G45" s="507">
        <v>3</v>
      </c>
      <c r="H45" s="735"/>
      <c r="I45" s="746">
        <v>11</v>
      </c>
      <c r="K45" s="504" t="s">
        <v>17</v>
      </c>
      <c r="L45" s="411">
        <v>2500</v>
      </c>
      <c r="M45" s="262"/>
      <c r="O45" s="262"/>
    </row>
    <row r="46" spans="1:15" ht="14.5" x14ac:dyDescent="0.35">
      <c r="A46" s="192" t="s">
        <v>18</v>
      </c>
      <c r="B46" s="193">
        <v>45781</v>
      </c>
      <c r="C46" s="209"/>
      <c r="D46" s="210"/>
      <c r="E46" s="211"/>
      <c r="F46" s="684"/>
      <c r="G46" s="279"/>
      <c r="H46" s="743"/>
      <c r="I46" s="747"/>
      <c r="K46" s="515" t="s">
        <v>19</v>
      </c>
      <c r="L46" s="413">
        <v>15</v>
      </c>
      <c r="M46" s="262"/>
      <c r="O46" s="262"/>
    </row>
    <row r="47" spans="1:15" ht="14.5" x14ac:dyDescent="0.35">
      <c r="A47" s="192" t="s">
        <v>20</v>
      </c>
      <c r="B47" s="193">
        <v>45782</v>
      </c>
      <c r="C47" s="205">
        <v>884</v>
      </c>
      <c r="D47" s="206">
        <v>50</v>
      </c>
      <c r="E47" s="207">
        <v>0</v>
      </c>
      <c r="F47" s="675">
        <v>0</v>
      </c>
      <c r="G47" s="507">
        <v>2</v>
      </c>
      <c r="H47" s="735" t="s">
        <v>40</v>
      </c>
      <c r="I47" s="746">
        <v>12</v>
      </c>
      <c r="K47" s="838"/>
      <c r="L47" s="839"/>
      <c r="M47" s="262"/>
      <c r="O47" s="262"/>
    </row>
    <row r="48" spans="1:15" ht="14.5" x14ac:dyDescent="0.35">
      <c r="A48" s="192" t="s">
        <v>22</v>
      </c>
      <c r="B48" s="193">
        <v>45783</v>
      </c>
      <c r="C48" s="212">
        <v>2012</v>
      </c>
      <c r="D48" s="213">
        <v>110</v>
      </c>
      <c r="E48" s="203">
        <v>0</v>
      </c>
      <c r="F48" s="676">
        <v>0</v>
      </c>
      <c r="G48" s="690">
        <v>3</v>
      </c>
      <c r="H48" s="734" t="s">
        <v>41</v>
      </c>
      <c r="I48" s="745">
        <v>12</v>
      </c>
      <c r="K48" s="262"/>
      <c r="L48" s="262"/>
      <c r="M48" s="916" t="s">
        <v>1233</v>
      </c>
      <c r="N48" s="917" t="s">
        <v>1232</v>
      </c>
      <c r="O48" s="262"/>
    </row>
    <row r="49" spans="1:15" ht="14.5" x14ac:dyDescent="0.35">
      <c r="A49" s="192" t="s">
        <v>24</v>
      </c>
      <c r="B49" s="193">
        <v>45784</v>
      </c>
      <c r="C49" s="214">
        <v>704</v>
      </c>
      <c r="D49" s="195">
        <v>25</v>
      </c>
      <c r="E49" s="215">
        <v>0</v>
      </c>
      <c r="F49" s="682">
        <v>0</v>
      </c>
      <c r="G49" s="247">
        <v>1</v>
      </c>
      <c r="H49" s="736" t="s">
        <v>42</v>
      </c>
      <c r="I49" s="748">
        <v>8</v>
      </c>
      <c r="K49" s="262"/>
      <c r="L49" s="262"/>
      <c r="M49" s="262"/>
      <c r="O49" s="262"/>
    </row>
    <row r="50" spans="1:15" ht="14.5" x14ac:dyDescent="0.35">
      <c r="A50" s="192" t="s">
        <v>10</v>
      </c>
      <c r="B50" s="193">
        <v>45785</v>
      </c>
      <c r="C50" s="217">
        <v>1331</v>
      </c>
      <c r="D50" s="218">
        <v>50</v>
      </c>
      <c r="E50" s="219">
        <v>0</v>
      </c>
      <c r="F50" s="677">
        <v>0</v>
      </c>
      <c r="G50" s="854">
        <v>0</v>
      </c>
      <c r="H50" s="737" t="s">
        <v>43</v>
      </c>
      <c r="I50" s="749">
        <v>13</v>
      </c>
      <c r="K50" s="262"/>
      <c r="L50" s="262"/>
      <c r="M50" s="262"/>
      <c r="O50" s="262"/>
    </row>
    <row r="51" spans="1:15" ht="14.5" x14ac:dyDescent="0.35">
      <c r="A51" s="192" t="s">
        <v>13</v>
      </c>
      <c r="B51" s="193">
        <v>45786</v>
      </c>
      <c r="C51" s="221">
        <v>1751</v>
      </c>
      <c r="D51" s="222">
        <v>50</v>
      </c>
      <c r="E51" s="223">
        <v>0</v>
      </c>
      <c r="F51" s="223">
        <v>0</v>
      </c>
      <c r="G51" s="692">
        <v>3</v>
      </c>
      <c r="H51" s="738" t="s">
        <v>44</v>
      </c>
      <c r="I51" s="750">
        <v>8</v>
      </c>
      <c r="K51" s="262"/>
      <c r="L51" s="262"/>
      <c r="M51" s="262"/>
      <c r="O51" s="262"/>
    </row>
    <row r="52" spans="1:15" ht="14.5" x14ac:dyDescent="0.35">
      <c r="A52" s="192" t="s">
        <v>16</v>
      </c>
      <c r="B52" s="193">
        <v>45787</v>
      </c>
      <c r="C52" s="225">
        <v>2457</v>
      </c>
      <c r="D52" s="226">
        <v>200</v>
      </c>
      <c r="E52" s="227">
        <v>0</v>
      </c>
      <c r="F52" s="227">
        <v>2</v>
      </c>
      <c r="G52" s="693">
        <v>8</v>
      </c>
      <c r="H52" s="739" t="s">
        <v>45</v>
      </c>
      <c r="I52" s="751">
        <v>22</v>
      </c>
      <c r="K52" s="262"/>
      <c r="L52" s="262"/>
      <c r="M52" s="262"/>
      <c r="O52" s="262"/>
    </row>
    <row r="53" spans="1:15" ht="14.5" x14ac:dyDescent="0.35">
      <c r="A53" s="192" t="s">
        <v>18</v>
      </c>
      <c r="B53" s="193">
        <v>45788</v>
      </c>
      <c r="C53" s="229"/>
      <c r="D53" s="230"/>
      <c r="E53" s="231"/>
      <c r="F53" s="231"/>
      <c r="G53" s="694"/>
      <c r="H53" s="740"/>
      <c r="I53" s="752"/>
      <c r="K53" s="262"/>
      <c r="L53" s="262"/>
      <c r="M53" s="262"/>
      <c r="O53" s="262"/>
    </row>
    <row r="54" spans="1:15" ht="14.5" x14ac:dyDescent="0.35">
      <c r="A54" s="192" t="s">
        <v>20</v>
      </c>
      <c r="B54" s="193">
        <v>45789</v>
      </c>
      <c r="C54" s="225">
        <v>1909</v>
      </c>
      <c r="D54" s="226">
        <v>50</v>
      </c>
      <c r="E54" s="227">
        <v>1</v>
      </c>
      <c r="F54" s="227">
        <v>0</v>
      </c>
      <c r="G54" s="693">
        <v>6</v>
      </c>
      <c r="H54" s="739" t="s">
        <v>46</v>
      </c>
      <c r="I54" s="751">
        <v>14</v>
      </c>
      <c r="K54" s="262"/>
      <c r="L54" s="262"/>
      <c r="M54" s="262"/>
      <c r="O54" s="262"/>
    </row>
    <row r="55" spans="1:15" ht="14.5" x14ac:dyDescent="0.35">
      <c r="A55" s="192" t="s">
        <v>22</v>
      </c>
      <c r="B55" s="193">
        <v>45790</v>
      </c>
      <c r="C55" s="233">
        <v>1379</v>
      </c>
      <c r="D55" s="234">
        <v>100</v>
      </c>
      <c r="E55" s="235">
        <v>1</v>
      </c>
      <c r="F55" s="235">
        <v>0</v>
      </c>
      <c r="G55" s="481">
        <v>5</v>
      </c>
      <c r="H55" s="741" t="s">
        <v>47</v>
      </c>
      <c r="I55" s="753">
        <v>11</v>
      </c>
      <c r="K55" s="262"/>
      <c r="L55" s="262"/>
      <c r="M55" s="262"/>
      <c r="O55" s="262"/>
    </row>
    <row r="56" spans="1:15" ht="14.5" x14ac:dyDescent="0.35">
      <c r="A56" s="192" t="s">
        <v>24</v>
      </c>
      <c r="B56" s="193">
        <v>45791</v>
      </c>
      <c r="C56" s="225">
        <v>2384</v>
      </c>
      <c r="D56" s="226">
        <v>50</v>
      </c>
      <c r="E56" s="227">
        <v>0</v>
      </c>
      <c r="F56" s="227">
        <v>0</v>
      </c>
      <c r="G56" s="693">
        <v>2</v>
      </c>
      <c r="H56" s="739" t="s">
        <v>48</v>
      </c>
      <c r="I56" s="751">
        <v>14</v>
      </c>
      <c r="K56" s="262"/>
      <c r="L56" s="262"/>
      <c r="M56" s="262"/>
      <c r="O56" s="262"/>
    </row>
    <row r="57" spans="1:15" ht="14.5" x14ac:dyDescent="0.35">
      <c r="A57" s="192" t="s">
        <v>10</v>
      </c>
      <c r="B57" s="193">
        <v>45792</v>
      </c>
      <c r="C57" s="233">
        <v>1733</v>
      </c>
      <c r="D57" s="195">
        <v>25</v>
      </c>
      <c r="E57" s="215">
        <v>0</v>
      </c>
      <c r="F57" s="215">
        <v>0</v>
      </c>
      <c r="G57" s="615">
        <v>4</v>
      </c>
      <c r="H57" s="736" t="s">
        <v>49</v>
      </c>
      <c r="I57" s="748">
        <v>14</v>
      </c>
      <c r="K57" s="262"/>
      <c r="L57" s="262"/>
      <c r="M57" s="262"/>
      <c r="O57" s="262"/>
    </row>
    <row r="58" spans="1:15" ht="14.5" x14ac:dyDescent="0.35">
      <c r="A58" s="192" t="s">
        <v>13</v>
      </c>
      <c r="B58" s="193">
        <v>45793</v>
      </c>
      <c r="C58" s="209">
        <v>1354</v>
      </c>
      <c r="D58" s="213">
        <v>0</v>
      </c>
      <c r="E58" s="203">
        <v>0</v>
      </c>
      <c r="F58" s="203">
        <v>0</v>
      </c>
      <c r="G58" s="611">
        <v>1</v>
      </c>
      <c r="H58" s="734" t="s">
        <v>50</v>
      </c>
      <c r="I58" s="745">
        <v>14</v>
      </c>
      <c r="K58" s="262"/>
      <c r="L58" s="262"/>
      <c r="M58" s="262"/>
      <c r="O58" s="262"/>
    </row>
    <row r="59" spans="1:15" ht="14.5" x14ac:dyDescent="0.35">
      <c r="A59" s="192" t="s">
        <v>16</v>
      </c>
      <c r="B59" s="193">
        <v>45794</v>
      </c>
      <c r="C59" s="233">
        <v>2688</v>
      </c>
      <c r="D59" s="234">
        <v>170</v>
      </c>
      <c r="E59" s="215">
        <v>0</v>
      </c>
      <c r="F59" s="215">
        <v>0</v>
      </c>
      <c r="G59" s="615">
        <v>9</v>
      </c>
      <c r="H59" s="736" t="s">
        <v>51</v>
      </c>
      <c r="I59" s="748">
        <v>11</v>
      </c>
      <c r="K59" s="262"/>
      <c r="L59" s="262"/>
      <c r="M59" s="262"/>
      <c r="O59" s="262"/>
    </row>
    <row r="60" spans="1:15" ht="14.5" x14ac:dyDescent="0.35">
      <c r="A60" s="192" t="s">
        <v>18</v>
      </c>
      <c r="B60" s="193">
        <v>45795</v>
      </c>
      <c r="C60" s="237"/>
      <c r="D60" s="238"/>
      <c r="E60" s="239"/>
      <c r="F60" s="239"/>
      <c r="G60" s="695"/>
      <c r="H60" s="742"/>
      <c r="I60" s="754"/>
      <c r="K60" s="262"/>
      <c r="L60" s="262"/>
      <c r="M60" s="262"/>
      <c r="O60" s="262"/>
    </row>
    <row r="61" spans="1:15" ht="14.5" x14ac:dyDescent="0.35">
      <c r="A61" s="192" t="s">
        <v>20</v>
      </c>
      <c r="B61" s="193">
        <v>45796</v>
      </c>
      <c r="C61" s="214">
        <v>709</v>
      </c>
      <c r="D61" s="195">
        <v>115</v>
      </c>
      <c r="E61" s="215">
        <v>0</v>
      </c>
      <c r="F61" s="215">
        <v>0</v>
      </c>
      <c r="G61" s="615">
        <v>6</v>
      </c>
      <c r="H61" s="736" t="s">
        <v>51</v>
      </c>
      <c r="I61" s="748">
        <v>12</v>
      </c>
      <c r="K61" s="262"/>
      <c r="L61" s="262"/>
      <c r="M61" s="262"/>
      <c r="O61" s="262"/>
    </row>
    <row r="62" spans="1:15" ht="14.5" x14ac:dyDescent="0.35">
      <c r="A62" s="192" t="s">
        <v>22</v>
      </c>
      <c r="B62" s="193">
        <v>45797</v>
      </c>
      <c r="C62" s="237">
        <v>1447</v>
      </c>
      <c r="D62" s="238">
        <v>65</v>
      </c>
      <c r="E62" s="239">
        <v>1</v>
      </c>
      <c r="F62" s="239">
        <v>1</v>
      </c>
      <c r="G62" s="695">
        <v>5</v>
      </c>
      <c r="H62" s="742" t="s">
        <v>52</v>
      </c>
      <c r="I62" s="754">
        <v>14</v>
      </c>
      <c r="K62" s="262"/>
      <c r="L62" s="262"/>
      <c r="M62" s="262"/>
      <c r="O62" s="262"/>
    </row>
    <row r="63" spans="1:15" ht="14.5" x14ac:dyDescent="0.35">
      <c r="A63" s="192" t="s">
        <v>24</v>
      </c>
      <c r="B63" s="193">
        <v>45798</v>
      </c>
      <c r="C63" s="205">
        <v>735</v>
      </c>
      <c r="D63" s="206">
        <v>0</v>
      </c>
      <c r="E63" s="207">
        <v>0</v>
      </c>
      <c r="F63" s="207">
        <v>0</v>
      </c>
      <c r="G63" s="612">
        <v>1</v>
      </c>
      <c r="H63" s="735" t="s">
        <v>1228</v>
      </c>
      <c r="I63" s="746">
        <v>9</v>
      </c>
      <c r="K63" s="262"/>
      <c r="L63" s="262"/>
      <c r="M63" s="262"/>
      <c r="O63" s="262"/>
    </row>
    <row r="64" spans="1:15" ht="14.5" x14ac:dyDescent="0.35">
      <c r="A64" s="192" t="s">
        <v>10</v>
      </c>
      <c r="B64" s="193">
        <v>45799</v>
      </c>
      <c r="C64" s="209"/>
      <c r="D64" s="210"/>
      <c r="E64" s="211"/>
      <c r="F64" s="211"/>
      <c r="G64" s="287"/>
      <c r="H64" s="743" t="s">
        <v>502</v>
      </c>
      <c r="I64" s="747"/>
      <c r="K64" s="262"/>
      <c r="L64" s="262"/>
      <c r="M64" s="262"/>
      <c r="O64" s="262"/>
    </row>
    <row r="65" spans="1:15" ht="14.5" x14ac:dyDescent="0.35">
      <c r="A65" s="192" t="s">
        <v>13</v>
      </c>
      <c r="B65" s="193">
        <v>45800</v>
      </c>
      <c r="C65" s="233"/>
      <c r="D65" s="234"/>
      <c r="E65" s="235"/>
      <c r="F65" s="235"/>
      <c r="G65" s="481"/>
      <c r="H65" s="741"/>
      <c r="I65" s="753"/>
      <c r="K65" s="262"/>
      <c r="L65" s="262"/>
      <c r="M65" s="262"/>
      <c r="O65" s="262"/>
    </row>
    <row r="66" spans="1:15" ht="14.5" x14ac:dyDescent="0.35">
      <c r="A66" s="192" t="s">
        <v>16</v>
      </c>
      <c r="B66" s="193">
        <v>45801</v>
      </c>
      <c r="C66" s="237"/>
      <c r="D66" s="238"/>
      <c r="E66" s="239"/>
      <c r="F66" s="239"/>
      <c r="G66" s="695"/>
      <c r="H66" s="742"/>
      <c r="I66" s="754"/>
      <c r="K66" s="262"/>
      <c r="L66" s="262"/>
      <c r="M66" s="262"/>
      <c r="O66" s="262"/>
    </row>
    <row r="67" spans="1:15" ht="14.5" x14ac:dyDescent="0.35">
      <c r="A67" s="192" t="s">
        <v>18</v>
      </c>
      <c r="B67" s="193">
        <v>45802</v>
      </c>
      <c r="C67" s="233"/>
      <c r="D67" s="234"/>
      <c r="E67" s="235"/>
      <c r="F67" s="235"/>
      <c r="G67" s="481"/>
      <c r="H67" s="741"/>
      <c r="I67" s="753"/>
      <c r="K67" s="262"/>
      <c r="L67" s="262"/>
      <c r="M67" s="262"/>
      <c r="O67" s="262"/>
    </row>
    <row r="68" spans="1:15" ht="14.5" x14ac:dyDescent="0.35">
      <c r="A68" s="192" t="s">
        <v>20</v>
      </c>
      <c r="B68" s="193">
        <v>45803</v>
      </c>
      <c r="C68" s="209"/>
      <c r="D68" s="210"/>
      <c r="E68" s="211"/>
      <c r="F68" s="211"/>
      <c r="G68" s="287"/>
      <c r="H68" s="743"/>
      <c r="I68" s="747"/>
      <c r="K68" s="262"/>
      <c r="L68" s="262"/>
      <c r="M68" s="262"/>
      <c r="O68" s="262"/>
    </row>
    <row r="69" spans="1:15" ht="14.5" x14ac:dyDescent="0.35">
      <c r="A69" s="192" t="s">
        <v>22</v>
      </c>
      <c r="B69" s="193">
        <v>45804</v>
      </c>
      <c r="C69" s="214"/>
      <c r="D69" s="195"/>
      <c r="E69" s="215"/>
      <c r="F69" s="215"/>
      <c r="G69" s="615"/>
      <c r="H69" s="736"/>
      <c r="I69" s="748"/>
      <c r="K69" s="262"/>
      <c r="L69" s="262"/>
      <c r="M69" s="262"/>
      <c r="O69" s="262"/>
    </row>
    <row r="70" spans="1:15" ht="14.5" x14ac:dyDescent="0.35">
      <c r="A70" s="192" t="s">
        <v>24</v>
      </c>
      <c r="B70" s="193">
        <v>45805</v>
      </c>
      <c r="C70" s="212"/>
      <c r="D70" s="213"/>
      <c r="E70" s="203"/>
      <c r="F70" s="203"/>
      <c r="G70" s="611"/>
      <c r="H70" s="734"/>
      <c r="I70" s="745"/>
      <c r="K70" s="262"/>
      <c r="L70" s="262"/>
      <c r="M70" s="262"/>
      <c r="O70" s="262"/>
    </row>
    <row r="71" spans="1:15" ht="14.5" x14ac:dyDescent="0.35">
      <c r="A71" s="192" t="s">
        <v>10</v>
      </c>
      <c r="B71" s="193">
        <v>45806</v>
      </c>
      <c r="C71" s="233"/>
      <c r="D71" s="263"/>
      <c r="E71" s="215"/>
      <c r="F71" s="215"/>
      <c r="G71" s="615"/>
      <c r="H71" s="736"/>
      <c r="I71" s="748"/>
      <c r="K71" s="262"/>
      <c r="L71" s="262"/>
      <c r="M71" s="262"/>
      <c r="O71" s="262"/>
    </row>
    <row r="72" spans="1:15" ht="14.5" x14ac:dyDescent="0.35">
      <c r="A72" s="192" t="s">
        <v>13</v>
      </c>
      <c r="B72" s="193">
        <v>45807</v>
      </c>
      <c r="C72" s="212"/>
      <c r="D72" s="213"/>
      <c r="E72" s="203"/>
      <c r="F72" s="203"/>
      <c r="G72" s="611"/>
      <c r="H72" s="734"/>
      <c r="I72" s="745"/>
      <c r="K72" s="262"/>
      <c r="L72" s="262"/>
      <c r="M72" s="262"/>
      <c r="O72" s="262"/>
    </row>
    <row r="73" spans="1:15" thickBot="1" x14ac:dyDescent="0.4">
      <c r="A73" s="192" t="s">
        <v>16</v>
      </c>
      <c r="B73" s="193">
        <v>45808</v>
      </c>
      <c r="C73" s="264"/>
      <c r="D73" s="265"/>
      <c r="E73" s="266"/>
      <c r="F73" s="266"/>
      <c r="G73" s="696"/>
      <c r="H73" s="870"/>
      <c r="I73" s="755"/>
      <c r="K73" s="262"/>
      <c r="L73" s="262"/>
      <c r="M73" s="262"/>
      <c r="O73" s="262"/>
    </row>
    <row r="74" spans="1:15" thickBot="1" x14ac:dyDescent="0.4">
      <c r="A74" s="257"/>
      <c r="B74" s="268"/>
      <c r="C74" s="258">
        <f t="shared" ref="C74:F74" si="1">SUM(C43:C73)</f>
        <v>27903</v>
      </c>
      <c r="D74" s="259">
        <f t="shared" si="1"/>
        <v>1145</v>
      </c>
      <c r="E74" s="260">
        <f t="shared" si="1"/>
        <v>3</v>
      </c>
      <c r="F74" s="884">
        <f t="shared" si="1"/>
        <v>3</v>
      </c>
      <c r="G74" s="885">
        <f>SUM(G43:G73)</f>
        <v>62</v>
      </c>
      <c r="H74" s="886"/>
      <c r="I74" s="887"/>
      <c r="K74" s="262"/>
      <c r="L74" s="262"/>
      <c r="M74" s="262"/>
      <c r="O74" s="262"/>
    </row>
    <row r="75" spans="1:15" ht="14.5" x14ac:dyDescent="0.35">
      <c r="A75" s="262"/>
      <c r="B75" s="474"/>
      <c r="C75" s="508"/>
      <c r="D75" s="262"/>
      <c r="E75" s="475"/>
      <c r="F75" s="511"/>
      <c r="G75" s="262"/>
      <c r="H75" s="262"/>
      <c r="I75" s="262"/>
      <c r="J75" s="262"/>
      <c r="K75" s="262"/>
      <c r="L75" s="262"/>
      <c r="M75" s="262"/>
    </row>
    <row r="76" spans="1:15" ht="16.5" thickBot="1" x14ac:dyDescent="0.45">
      <c r="A76" s="262"/>
      <c r="B76" s="474"/>
      <c r="C76" s="508"/>
      <c r="D76" s="262"/>
      <c r="E76" s="508"/>
      <c r="F76" s="262"/>
      <c r="G76" s="262"/>
      <c r="H76" s="262"/>
      <c r="I76" s="262"/>
      <c r="J76" s="262"/>
      <c r="K76" s="349"/>
      <c r="L76" s="349"/>
      <c r="M76" s="262"/>
    </row>
    <row r="77" spans="1:15" ht="15.65" customHeight="1" thickBot="1" x14ac:dyDescent="0.45">
      <c r="A77" s="348"/>
      <c r="B77" s="926" t="s">
        <v>53</v>
      </c>
      <c r="C77" s="928" t="s">
        <v>0</v>
      </c>
      <c r="D77" s="298" t="s">
        <v>2</v>
      </c>
      <c r="E77" s="184" t="s">
        <v>3</v>
      </c>
      <c r="F77" s="772" t="s">
        <v>4</v>
      </c>
      <c r="G77" s="774" t="s">
        <v>5</v>
      </c>
      <c r="H77" s="186" t="s">
        <v>6</v>
      </c>
      <c r="I77" s="773" t="s">
        <v>7</v>
      </c>
      <c r="M77" s="349"/>
      <c r="O77" s="349"/>
    </row>
    <row r="78" spans="1:15" ht="33" customHeight="1" x14ac:dyDescent="0.4">
      <c r="A78" s="497"/>
      <c r="B78" s="927"/>
      <c r="C78" s="929"/>
      <c r="D78" s="299" t="s">
        <v>0</v>
      </c>
      <c r="E78" s="188" t="s">
        <v>0</v>
      </c>
      <c r="F78" s="772" t="s">
        <v>0</v>
      </c>
      <c r="G78" s="664" t="s">
        <v>0</v>
      </c>
      <c r="H78" s="665" t="s">
        <v>8</v>
      </c>
      <c r="I78" s="666" t="s">
        <v>9</v>
      </c>
      <c r="K78" s="923" t="s">
        <v>12</v>
      </c>
      <c r="L78" s="923"/>
      <c r="M78" s="262"/>
      <c r="O78" s="262"/>
    </row>
    <row r="79" spans="1:15" ht="14.5" x14ac:dyDescent="0.35">
      <c r="A79" s="192" t="s">
        <v>10</v>
      </c>
      <c r="B79" s="193">
        <v>45778</v>
      </c>
      <c r="C79" s="194">
        <v>1627</v>
      </c>
      <c r="D79" s="195">
        <v>87</v>
      </c>
      <c r="E79" s="286">
        <v>0</v>
      </c>
      <c r="F79" s="855">
        <v>1</v>
      </c>
      <c r="G79" s="728">
        <v>3</v>
      </c>
      <c r="H79" s="882" t="s">
        <v>54</v>
      </c>
      <c r="I79" s="744">
        <v>18</v>
      </c>
      <c r="K79" s="513" t="s">
        <v>15</v>
      </c>
      <c r="L79" s="409">
        <v>54000</v>
      </c>
      <c r="M79" s="262"/>
      <c r="O79" s="262"/>
    </row>
    <row r="80" spans="1:15" ht="14.5" x14ac:dyDescent="0.35">
      <c r="A80" s="192" t="s">
        <v>13</v>
      </c>
      <c r="B80" s="193">
        <v>45779</v>
      </c>
      <c r="C80" s="212">
        <v>1823</v>
      </c>
      <c r="D80" s="213">
        <v>29</v>
      </c>
      <c r="E80" s="203">
        <v>0</v>
      </c>
      <c r="F80" s="203">
        <v>0</v>
      </c>
      <c r="G80" s="611">
        <v>2</v>
      </c>
      <c r="H80" s="736" t="s">
        <v>55</v>
      </c>
      <c r="I80" s="745">
        <v>14</v>
      </c>
      <c r="K80" s="504" t="s">
        <v>17</v>
      </c>
      <c r="L80" s="411">
        <v>2500</v>
      </c>
      <c r="M80" s="262"/>
      <c r="O80" s="262"/>
    </row>
    <row r="81" spans="1:15" ht="14.5" x14ac:dyDescent="0.35">
      <c r="A81" s="192" t="s">
        <v>16</v>
      </c>
      <c r="B81" s="193">
        <v>45780</v>
      </c>
      <c r="C81" s="205">
        <v>3196</v>
      </c>
      <c r="D81" s="206">
        <v>58</v>
      </c>
      <c r="E81" s="207">
        <v>0</v>
      </c>
      <c r="F81" s="207">
        <v>0</v>
      </c>
      <c r="G81" s="675">
        <v>9</v>
      </c>
      <c r="H81" s="872"/>
      <c r="I81" s="746">
        <v>26</v>
      </c>
      <c r="K81" s="515" t="s">
        <v>19</v>
      </c>
      <c r="L81" s="413">
        <v>15</v>
      </c>
      <c r="M81" s="262"/>
      <c r="O81" s="262"/>
    </row>
    <row r="82" spans="1:15" ht="14.5" x14ac:dyDescent="0.35">
      <c r="A82" s="192" t="s">
        <v>18</v>
      </c>
      <c r="B82" s="193">
        <v>45781</v>
      </c>
      <c r="C82" s="209"/>
      <c r="D82" s="210"/>
      <c r="E82" s="211"/>
      <c r="F82" s="211"/>
      <c r="G82" s="684"/>
      <c r="H82" s="873"/>
      <c r="I82" s="747"/>
      <c r="K82" s="838"/>
      <c r="L82" s="839"/>
      <c r="M82" s="262"/>
      <c r="O82" s="262"/>
    </row>
    <row r="83" spans="1:15" ht="14.5" x14ac:dyDescent="0.35">
      <c r="A83" s="192" t="s">
        <v>20</v>
      </c>
      <c r="B83" s="193">
        <v>45782</v>
      </c>
      <c r="C83" s="205">
        <v>2759</v>
      </c>
      <c r="D83" s="206">
        <v>116</v>
      </c>
      <c r="E83" s="207">
        <v>0</v>
      </c>
      <c r="F83" s="207">
        <v>0</v>
      </c>
      <c r="G83" s="675">
        <v>6</v>
      </c>
      <c r="H83" s="872" t="s">
        <v>56</v>
      </c>
      <c r="I83" s="746">
        <v>28</v>
      </c>
      <c r="K83" s="262"/>
      <c r="L83" s="262"/>
      <c r="M83" s="916" t="s">
        <v>1233</v>
      </c>
      <c r="N83" s="917" t="s">
        <v>1232</v>
      </c>
      <c r="O83" s="262"/>
    </row>
    <row r="84" spans="1:15" ht="14.5" x14ac:dyDescent="0.35">
      <c r="A84" s="192" t="s">
        <v>22</v>
      </c>
      <c r="B84" s="193">
        <v>45783</v>
      </c>
      <c r="C84" s="212">
        <v>1829</v>
      </c>
      <c r="D84" s="213">
        <v>116</v>
      </c>
      <c r="E84" s="203">
        <v>0</v>
      </c>
      <c r="F84" s="203">
        <v>1</v>
      </c>
      <c r="G84" s="676">
        <v>2</v>
      </c>
      <c r="H84" s="874" t="s">
        <v>57</v>
      </c>
      <c r="I84" s="745">
        <v>18</v>
      </c>
      <c r="K84" s="262"/>
      <c r="L84" s="262"/>
      <c r="M84" s="262"/>
      <c r="O84" s="262"/>
    </row>
    <row r="85" spans="1:15" ht="14.5" x14ac:dyDescent="0.35">
      <c r="A85" s="192" t="s">
        <v>24</v>
      </c>
      <c r="B85" s="193">
        <v>45784</v>
      </c>
      <c r="C85" s="214">
        <v>2156</v>
      </c>
      <c r="D85" s="195">
        <v>87</v>
      </c>
      <c r="E85" s="215">
        <v>0</v>
      </c>
      <c r="F85" s="215">
        <v>0</v>
      </c>
      <c r="G85" s="682">
        <v>2</v>
      </c>
      <c r="H85" s="875" t="s">
        <v>58</v>
      </c>
      <c r="I85" s="748">
        <v>10</v>
      </c>
      <c r="K85" s="262"/>
      <c r="L85" s="262"/>
      <c r="M85" s="262"/>
      <c r="O85" s="262"/>
    </row>
    <row r="86" spans="1:15" ht="14.5" x14ac:dyDescent="0.35">
      <c r="A86" s="192" t="s">
        <v>10</v>
      </c>
      <c r="B86" s="193">
        <v>45785</v>
      </c>
      <c r="C86" s="217">
        <v>1861</v>
      </c>
      <c r="D86" s="218">
        <v>58</v>
      </c>
      <c r="E86" s="219">
        <v>0</v>
      </c>
      <c r="F86" s="219">
        <v>1</v>
      </c>
      <c r="G86" s="677">
        <v>1</v>
      </c>
      <c r="H86" s="876" t="s">
        <v>59</v>
      </c>
      <c r="I86" s="749">
        <v>9</v>
      </c>
      <c r="K86" s="262"/>
      <c r="L86" s="262"/>
      <c r="M86" s="262"/>
      <c r="O86" s="262"/>
    </row>
    <row r="87" spans="1:15" ht="14.5" x14ac:dyDescent="0.35">
      <c r="A87" s="192" t="s">
        <v>13</v>
      </c>
      <c r="B87" s="193">
        <v>45786</v>
      </c>
      <c r="C87" s="221">
        <v>1845</v>
      </c>
      <c r="D87" s="222">
        <v>0</v>
      </c>
      <c r="E87" s="223">
        <v>0</v>
      </c>
      <c r="F87" s="223">
        <v>0</v>
      </c>
      <c r="G87" s="678">
        <v>2</v>
      </c>
      <c r="H87" s="877" t="s">
        <v>60</v>
      </c>
      <c r="I87" s="750">
        <v>9</v>
      </c>
      <c r="K87" s="262"/>
      <c r="L87" s="262"/>
      <c r="M87" s="262"/>
      <c r="O87" s="262"/>
    </row>
    <row r="88" spans="1:15" ht="14.5" x14ac:dyDescent="0.35">
      <c r="A88" s="192" t="s">
        <v>16</v>
      </c>
      <c r="B88" s="193">
        <v>45787</v>
      </c>
      <c r="C88" s="225">
        <v>3009</v>
      </c>
      <c r="D88" s="226">
        <v>29</v>
      </c>
      <c r="E88" s="227">
        <v>0</v>
      </c>
      <c r="F88" s="227">
        <v>0</v>
      </c>
      <c r="G88" s="679">
        <v>4</v>
      </c>
      <c r="H88" s="878" t="s">
        <v>61</v>
      </c>
      <c r="I88" s="751">
        <v>19</v>
      </c>
      <c r="K88" s="262"/>
      <c r="L88" s="262"/>
      <c r="M88" s="262"/>
      <c r="O88" s="262"/>
    </row>
    <row r="89" spans="1:15" ht="14.5" x14ac:dyDescent="0.35">
      <c r="A89" s="192" t="s">
        <v>18</v>
      </c>
      <c r="B89" s="193">
        <v>45788</v>
      </c>
      <c r="C89" s="229"/>
      <c r="D89" s="230"/>
      <c r="E89" s="231"/>
      <c r="F89" s="231"/>
      <c r="G89" s="680"/>
      <c r="H89" s="879"/>
      <c r="I89" s="752"/>
      <c r="K89" s="262"/>
      <c r="L89" s="262"/>
      <c r="M89" s="262"/>
      <c r="O89" s="262"/>
    </row>
    <row r="90" spans="1:15" ht="14.5" x14ac:dyDescent="0.35">
      <c r="A90" s="192" t="s">
        <v>20</v>
      </c>
      <c r="B90" s="193">
        <v>45789</v>
      </c>
      <c r="C90" s="225">
        <v>2124</v>
      </c>
      <c r="D90" s="226">
        <v>29</v>
      </c>
      <c r="E90" s="227">
        <v>0</v>
      </c>
      <c r="F90" s="227">
        <v>0</v>
      </c>
      <c r="G90" s="679">
        <v>4</v>
      </c>
      <c r="H90" s="878" t="s">
        <v>62</v>
      </c>
      <c r="I90" s="751">
        <v>20</v>
      </c>
      <c r="K90" s="262"/>
      <c r="L90" s="262"/>
      <c r="M90" s="262"/>
      <c r="O90" s="262"/>
    </row>
    <row r="91" spans="1:15" ht="14.5" x14ac:dyDescent="0.35">
      <c r="A91" s="192" t="s">
        <v>22</v>
      </c>
      <c r="B91" s="193">
        <v>45790</v>
      </c>
      <c r="C91" s="233">
        <v>1828</v>
      </c>
      <c r="D91" s="234">
        <v>29</v>
      </c>
      <c r="E91" s="235">
        <v>0</v>
      </c>
      <c r="F91" s="235">
        <v>0</v>
      </c>
      <c r="G91" s="681">
        <v>4</v>
      </c>
      <c r="H91" s="880" t="s">
        <v>63</v>
      </c>
      <c r="I91" s="753">
        <v>21</v>
      </c>
      <c r="K91" s="262"/>
      <c r="L91" s="262"/>
      <c r="M91" s="262"/>
      <c r="O91" s="262"/>
    </row>
    <row r="92" spans="1:15" ht="14.5" x14ac:dyDescent="0.35">
      <c r="A92" s="192" t="s">
        <v>24</v>
      </c>
      <c r="B92" s="193">
        <v>45791</v>
      </c>
      <c r="C92" s="225">
        <v>1333</v>
      </c>
      <c r="D92" s="226">
        <v>58</v>
      </c>
      <c r="E92" s="227">
        <v>0</v>
      </c>
      <c r="F92" s="227">
        <v>0</v>
      </c>
      <c r="G92" s="679">
        <v>1</v>
      </c>
      <c r="H92" s="878" t="s">
        <v>64</v>
      </c>
      <c r="I92" s="751">
        <v>8</v>
      </c>
      <c r="K92" s="262"/>
      <c r="L92" s="262"/>
      <c r="M92" s="262"/>
      <c r="O92" s="262"/>
    </row>
    <row r="93" spans="1:15" ht="14.5" x14ac:dyDescent="0.35">
      <c r="A93" s="192" t="s">
        <v>10</v>
      </c>
      <c r="B93" s="193">
        <v>45792</v>
      </c>
      <c r="C93" s="233">
        <v>1358</v>
      </c>
      <c r="D93" s="195">
        <v>0</v>
      </c>
      <c r="E93" s="215">
        <v>0</v>
      </c>
      <c r="F93" s="215">
        <v>0</v>
      </c>
      <c r="G93" s="682">
        <v>6</v>
      </c>
      <c r="H93" s="875" t="s">
        <v>65</v>
      </c>
      <c r="I93" s="748">
        <v>18</v>
      </c>
      <c r="K93" s="262"/>
      <c r="L93" s="262"/>
      <c r="M93" s="262"/>
      <c r="O93" s="262"/>
    </row>
    <row r="94" spans="1:15" ht="14.5" x14ac:dyDescent="0.35">
      <c r="A94" s="192" t="s">
        <v>13</v>
      </c>
      <c r="B94" s="193">
        <v>45793</v>
      </c>
      <c r="C94" s="209">
        <v>1766</v>
      </c>
      <c r="D94" s="213">
        <v>74</v>
      </c>
      <c r="E94" s="203">
        <v>0</v>
      </c>
      <c r="F94" s="203">
        <v>0</v>
      </c>
      <c r="G94" s="676">
        <v>11</v>
      </c>
      <c r="H94" s="874" t="s">
        <v>66</v>
      </c>
      <c r="I94" s="745">
        <v>19</v>
      </c>
      <c r="K94" s="262"/>
      <c r="L94" s="262"/>
      <c r="M94" s="262"/>
      <c r="O94" s="262"/>
    </row>
    <row r="95" spans="1:15" ht="14.5" x14ac:dyDescent="0.35">
      <c r="A95" s="192" t="s">
        <v>16</v>
      </c>
      <c r="B95" s="193">
        <v>45794</v>
      </c>
      <c r="C95" s="233">
        <v>2795</v>
      </c>
      <c r="D95" s="234">
        <v>58</v>
      </c>
      <c r="E95" s="215">
        <v>0</v>
      </c>
      <c r="F95" s="215">
        <v>2</v>
      </c>
      <c r="G95" s="682">
        <v>10</v>
      </c>
      <c r="H95" s="875" t="s">
        <v>67</v>
      </c>
      <c r="I95" s="748">
        <v>23</v>
      </c>
      <c r="K95" s="262"/>
      <c r="L95" s="262"/>
      <c r="M95" s="262"/>
      <c r="O95" s="262"/>
    </row>
    <row r="96" spans="1:15" ht="14.5" x14ac:dyDescent="0.35">
      <c r="A96" s="192" t="s">
        <v>18</v>
      </c>
      <c r="B96" s="193">
        <v>45795</v>
      </c>
      <c r="C96" s="237"/>
      <c r="D96" s="270"/>
      <c r="E96" s="239"/>
      <c r="F96" s="239"/>
      <c r="G96" s="683"/>
      <c r="H96" s="881"/>
      <c r="I96" s="754"/>
      <c r="K96" s="262"/>
      <c r="L96" s="262"/>
      <c r="M96" s="262"/>
      <c r="O96" s="262"/>
    </row>
    <row r="97" spans="1:15" ht="14.5" x14ac:dyDescent="0.35">
      <c r="A97" s="192" t="s">
        <v>20</v>
      </c>
      <c r="B97" s="193">
        <v>45796</v>
      </c>
      <c r="C97" s="214">
        <v>2438</v>
      </c>
      <c r="D97" s="195">
        <v>174</v>
      </c>
      <c r="E97" s="215">
        <v>0</v>
      </c>
      <c r="F97" s="215">
        <v>0</v>
      </c>
      <c r="G97" s="682">
        <v>12</v>
      </c>
      <c r="H97" s="875" t="s">
        <v>68</v>
      </c>
      <c r="I97" s="748">
        <v>26</v>
      </c>
      <c r="K97" s="262"/>
      <c r="L97" s="262"/>
      <c r="M97" s="262"/>
      <c r="O97" s="262"/>
    </row>
    <row r="98" spans="1:15" ht="14.5" x14ac:dyDescent="0.35">
      <c r="A98" s="192" t="s">
        <v>22</v>
      </c>
      <c r="B98" s="193">
        <v>45797</v>
      </c>
      <c r="C98" s="237">
        <v>1665</v>
      </c>
      <c r="D98" s="238">
        <v>87</v>
      </c>
      <c r="E98" s="239">
        <v>0</v>
      </c>
      <c r="F98" s="239">
        <v>2</v>
      </c>
      <c r="G98" s="683">
        <v>6</v>
      </c>
      <c r="H98" s="881" t="s">
        <v>69</v>
      </c>
      <c r="I98" s="754">
        <v>12</v>
      </c>
      <c r="K98" s="262"/>
      <c r="L98" s="262"/>
      <c r="M98" s="262"/>
      <c r="O98" s="262"/>
    </row>
    <row r="99" spans="1:15" ht="14.5" x14ac:dyDescent="0.35">
      <c r="A99" s="192" t="s">
        <v>24</v>
      </c>
      <c r="B99" s="193">
        <v>45798</v>
      </c>
      <c r="C99" s="205">
        <v>1158</v>
      </c>
      <c r="D99" s="206">
        <v>29</v>
      </c>
      <c r="E99" s="207">
        <v>0</v>
      </c>
      <c r="F99" s="207">
        <v>0</v>
      </c>
      <c r="G99" s="675">
        <v>4</v>
      </c>
      <c r="H99" s="872" t="s">
        <v>1229</v>
      </c>
      <c r="I99" s="746">
        <v>11</v>
      </c>
      <c r="K99" s="262"/>
      <c r="L99" s="262"/>
      <c r="M99" s="262"/>
      <c r="O99" s="262"/>
    </row>
    <row r="100" spans="1:15" ht="14.5" x14ac:dyDescent="0.35">
      <c r="A100" s="192" t="s">
        <v>10</v>
      </c>
      <c r="B100" s="193">
        <v>45799</v>
      </c>
      <c r="C100" s="209"/>
      <c r="D100" s="210"/>
      <c r="E100" s="211"/>
      <c r="F100" s="211"/>
      <c r="G100" s="684"/>
      <c r="H100" s="873" t="s">
        <v>1235</v>
      </c>
      <c r="I100" s="747"/>
      <c r="K100" s="262"/>
      <c r="L100" s="262"/>
      <c r="M100" s="262"/>
      <c r="O100" s="262"/>
    </row>
    <row r="101" spans="1:15" ht="14.5" x14ac:dyDescent="0.35">
      <c r="A101" s="192" t="s">
        <v>13</v>
      </c>
      <c r="B101" s="193">
        <v>45800</v>
      </c>
      <c r="C101" s="233"/>
      <c r="D101" s="234"/>
      <c r="E101" s="235"/>
      <c r="F101" s="235"/>
      <c r="G101" s="681"/>
      <c r="H101" s="880"/>
      <c r="I101" s="753"/>
      <c r="K101" s="262"/>
      <c r="L101" s="262"/>
      <c r="M101" s="262"/>
      <c r="O101" s="262"/>
    </row>
    <row r="102" spans="1:15" ht="14.5" x14ac:dyDescent="0.35">
      <c r="A102" s="192" t="s">
        <v>16</v>
      </c>
      <c r="B102" s="193">
        <v>45801</v>
      </c>
      <c r="C102" s="237"/>
      <c r="D102" s="238"/>
      <c r="E102" s="239"/>
      <c r="F102" s="239"/>
      <c r="G102" s="683"/>
      <c r="H102" s="881"/>
      <c r="I102" s="754"/>
      <c r="K102" s="262"/>
      <c r="L102" s="262"/>
      <c r="M102" s="262"/>
      <c r="O102" s="262"/>
    </row>
    <row r="103" spans="1:15" ht="14.5" x14ac:dyDescent="0.35">
      <c r="A103" s="192" t="s">
        <v>18</v>
      </c>
      <c r="B103" s="193">
        <v>45802</v>
      </c>
      <c r="C103" s="233"/>
      <c r="D103" s="234"/>
      <c r="E103" s="235"/>
      <c r="F103" s="235"/>
      <c r="G103" s="681"/>
      <c r="H103" s="880"/>
      <c r="I103" s="753"/>
      <c r="K103" s="262"/>
      <c r="L103" s="262"/>
      <c r="M103" s="508"/>
      <c r="O103" s="262"/>
    </row>
    <row r="104" spans="1:15" ht="14.5" x14ac:dyDescent="0.35">
      <c r="A104" s="192" t="s">
        <v>20</v>
      </c>
      <c r="B104" s="193">
        <v>45803</v>
      </c>
      <c r="C104" s="209"/>
      <c r="D104" s="210"/>
      <c r="E104" s="211"/>
      <c r="F104" s="211"/>
      <c r="G104" s="684"/>
      <c r="H104" s="873"/>
      <c r="I104" s="747"/>
      <c r="M104" s="508"/>
      <c r="O104" s="262"/>
    </row>
    <row r="105" spans="1:15" ht="14.5" x14ac:dyDescent="0.35">
      <c r="A105" s="192" t="s">
        <v>22</v>
      </c>
      <c r="B105" s="193">
        <v>45804</v>
      </c>
      <c r="C105" s="214"/>
      <c r="D105" s="195"/>
      <c r="E105" s="215"/>
      <c r="F105" s="215"/>
      <c r="G105" s="697"/>
      <c r="H105" s="880"/>
      <c r="I105" s="741"/>
      <c r="M105" s="262"/>
      <c r="O105" s="262"/>
    </row>
    <row r="106" spans="1:15" ht="14.5" x14ac:dyDescent="0.35">
      <c r="A106" s="192" t="s">
        <v>24</v>
      </c>
      <c r="B106" s="193">
        <v>45805</v>
      </c>
      <c r="C106" s="212"/>
      <c r="D106" s="213"/>
      <c r="E106" s="203"/>
      <c r="F106" s="203"/>
      <c r="G106" s="676"/>
      <c r="H106" s="874"/>
      <c r="I106" s="745"/>
      <c r="M106" s="262"/>
      <c r="O106" s="262"/>
    </row>
    <row r="107" spans="1:15" ht="14.5" x14ac:dyDescent="0.35">
      <c r="A107" s="192" t="s">
        <v>10</v>
      </c>
      <c r="B107" s="193">
        <v>45806</v>
      </c>
      <c r="C107" s="233"/>
      <c r="D107" s="195"/>
      <c r="E107" s="215"/>
      <c r="F107" s="247"/>
      <c r="G107" s="682"/>
      <c r="H107" s="875"/>
      <c r="I107" s="748"/>
      <c r="M107" s="262"/>
      <c r="O107" s="262"/>
    </row>
    <row r="108" spans="1:15" ht="14.5" x14ac:dyDescent="0.35">
      <c r="A108" s="192" t="s">
        <v>13</v>
      </c>
      <c r="B108" s="193">
        <v>45807</v>
      </c>
      <c r="C108" s="212"/>
      <c r="D108" s="213"/>
      <c r="E108" s="203"/>
      <c r="F108" s="203"/>
      <c r="G108" s="676"/>
      <c r="H108" s="874"/>
      <c r="I108" s="745"/>
      <c r="K108" s="262"/>
      <c r="L108" s="262"/>
      <c r="M108" s="262"/>
      <c r="O108" s="262"/>
    </row>
    <row r="109" spans="1:15" thickBot="1" x14ac:dyDescent="0.4">
      <c r="A109" s="192" t="s">
        <v>16</v>
      </c>
      <c r="B109" s="193">
        <v>45808</v>
      </c>
      <c r="C109" s="264"/>
      <c r="D109" s="265"/>
      <c r="E109" s="266"/>
      <c r="F109" s="266"/>
      <c r="G109" s="687"/>
      <c r="H109" s="882"/>
      <c r="I109" s="755"/>
      <c r="K109" s="262"/>
      <c r="L109" s="262"/>
      <c r="M109" s="262"/>
      <c r="O109" s="262"/>
    </row>
    <row r="110" spans="1:15" thickBot="1" x14ac:dyDescent="0.4">
      <c r="A110" s="257"/>
      <c r="B110" s="268"/>
      <c r="C110" s="258">
        <f t="shared" ref="C110:F110" si="2">SUM(C79:C109)</f>
        <v>36570</v>
      </c>
      <c r="D110" s="259">
        <f t="shared" si="2"/>
        <v>1118</v>
      </c>
      <c r="E110" s="260">
        <f t="shared" si="2"/>
        <v>0</v>
      </c>
      <c r="F110" s="884">
        <f t="shared" si="2"/>
        <v>7</v>
      </c>
      <c r="G110" s="885">
        <f>SUM(G79:G109)</f>
        <v>89</v>
      </c>
      <c r="H110" s="886"/>
      <c r="I110" s="887"/>
      <c r="K110" s="262"/>
      <c r="L110" s="262"/>
      <c r="M110" s="262"/>
      <c r="O110" s="262"/>
    </row>
    <row r="111" spans="1:15" ht="16" x14ac:dyDescent="0.4">
      <c r="A111" s="262"/>
      <c r="B111" s="474"/>
      <c r="C111" s="508"/>
      <c r="D111" s="475"/>
      <c r="E111" s="511"/>
      <c r="F111" s="262"/>
      <c r="G111" s="262"/>
      <c r="H111" s="262"/>
      <c r="I111" s="262"/>
      <c r="J111" s="262"/>
      <c r="K111" s="349"/>
      <c r="L111" s="349"/>
      <c r="M111" s="262"/>
    </row>
    <row r="112" spans="1:15" ht="14.5" x14ac:dyDescent="0.35">
      <c r="A112" s="262"/>
      <c r="B112" s="474"/>
      <c r="C112" s="508"/>
      <c r="D112" s="475"/>
      <c r="E112" s="511"/>
      <c r="F112" s="262"/>
      <c r="G112" s="262"/>
      <c r="H112" s="262"/>
      <c r="I112" s="262"/>
      <c r="J112" s="262"/>
      <c r="M112" s="262"/>
    </row>
    <row r="113" spans="1:15" ht="16" x14ac:dyDescent="0.4">
      <c r="A113" s="262"/>
      <c r="B113" s="474"/>
      <c r="C113" s="508"/>
      <c r="D113" s="475"/>
      <c r="E113" s="511"/>
      <c r="F113" s="262"/>
      <c r="G113" s="262"/>
      <c r="H113" s="262"/>
      <c r="I113" s="349"/>
      <c r="J113" s="349"/>
      <c r="M113" s="262"/>
    </row>
    <row r="114" spans="1:15" ht="25" customHeight="1" thickBot="1" x14ac:dyDescent="0.4">
      <c r="A114" s="262"/>
      <c r="B114" s="474"/>
      <c r="C114" s="508"/>
      <c r="D114" s="475"/>
      <c r="E114" s="511"/>
      <c r="F114" s="262"/>
      <c r="G114" s="262"/>
      <c r="H114" s="262"/>
      <c r="I114" s="262"/>
      <c r="J114" s="262"/>
      <c r="M114" s="262"/>
    </row>
    <row r="115" spans="1:15" ht="16" customHeight="1" thickBot="1" x14ac:dyDescent="0.45">
      <c r="A115" s="2"/>
      <c r="B115" s="926" t="s">
        <v>70</v>
      </c>
      <c r="C115" s="928" t="s">
        <v>0</v>
      </c>
      <c r="D115" s="298" t="s">
        <v>2</v>
      </c>
      <c r="E115" s="771" t="s">
        <v>3</v>
      </c>
      <c r="F115" s="772" t="s">
        <v>4</v>
      </c>
      <c r="G115" s="774" t="s">
        <v>5</v>
      </c>
      <c r="H115" s="186" t="s">
        <v>6</v>
      </c>
      <c r="I115" s="773" t="s">
        <v>7</v>
      </c>
      <c r="M115" s="262"/>
    </row>
    <row r="116" spans="1:15" ht="29.15" customHeight="1" x14ac:dyDescent="0.4">
      <c r="A116" s="8"/>
      <c r="B116" s="927"/>
      <c r="C116" s="929"/>
      <c r="D116" s="299" t="s">
        <v>0</v>
      </c>
      <c r="E116" s="498" t="s">
        <v>0</v>
      </c>
      <c r="F116" s="772" t="s">
        <v>0</v>
      </c>
      <c r="G116" s="664" t="s">
        <v>0</v>
      </c>
      <c r="H116" s="710" t="s">
        <v>8</v>
      </c>
      <c r="I116" s="711" t="s">
        <v>1231</v>
      </c>
      <c r="K116" s="517"/>
      <c r="L116" s="473"/>
      <c r="M116" s="262"/>
    </row>
    <row r="117" spans="1:15" ht="14.5" x14ac:dyDescent="0.35">
      <c r="A117" s="192" t="s">
        <v>10</v>
      </c>
      <c r="B117" s="193">
        <v>45778</v>
      </c>
      <c r="C117" s="194">
        <v>1552</v>
      </c>
      <c r="D117" s="195">
        <v>0</v>
      </c>
      <c r="E117" s="196">
        <v>0</v>
      </c>
      <c r="F117" s="855">
        <v>1</v>
      </c>
      <c r="G117" s="727">
        <v>1</v>
      </c>
      <c r="H117" s="870" t="s">
        <v>71</v>
      </c>
      <c r="I117" s="744">
        <v>8</v>
      </c>
      <c r="K117" s="923" t="s">
        <v>12</v>
      </c>
      <c r="L117" s="923"/>
      <c r="M117" s="262"/>
    </row>
    <row r="118" spans="1:15" ht="14.5" x14ac:dyDescent="0.35">
      <c r="A118" s="192" t="s">
        <v>13</v>
      </c>
      <c r="B118" s="193">
        <v>45779</v>
      </c>
      <c r="C118" s="212">
        <v>948</v>
      </c>
      <c r="D118" s="213">
        <v>0</v>
      </c>
      <c r="E118" s="203">
        <v>0</v>
      </c>
      <c r="F118" s="203">
        <v>0</v>
      </c>
      <c r="G118" s="611">
        <v>2</v>
      </c>
      <c r="H118" s="736" t="s">
        <v>72</v>
      </c>
      <c r="I118" s="745">
        <v>9</v>
      </c>
      <c r="K118" s="513" t="s">
        <v>15</v>
      </c>
      <c r="L118" s="409">
        <v>38000</v>
      </c>
      <c r="M118" s="262"/>
    </row>
    <row r="119" spans="1:15" ht="14.5" x14ac:dyDescent="0.35">
      <c r="A119" s="192" t="s">
        <v>16</v>
      </c>
      <c r="B119" s="193">
        <v>45780</v>
      </c>
      <c r="C119" s="205">
        <v>513</v>
      </c>
      <c r="D119" s="206">
        <v>0</v>
      </c>
      <c r="E119" s="207">
        <v>0</v>
      </c>
      <c r="F119" s="207">
        <v>0</v>
      </c>
      <c r="G119" s="612">
        <v>1</v>
      </c>
      <c r="H119" s="735"/>
      <c r="I119" s="746">
        <v>6</v>
      </c>
      <c r="K119" s="504" t="s">
        <v>17</v>
      </c>
      <c r="L119" s="411">
        <v>1000</v>
      </c>
      <c r="M119" s="262"/>
    </row>
    <row r="120" spans="1:15" ht="14.5" x14ac:dyDescent="0.35">
      <c r="A120" s="192" t="s">
        <v>18</v>
      </c>
      <c r="B120" s="193">
        <v>45781</v>
      </c>
      <c r="C120" s="209"/>
      <c r="D120" s="210"/>
      <c r="E120" s="211"/>
      <c r="F120" s="211"/>
      <c r="G120" s="287"/>
      <c r="H120" s="743"/>
      <c r="I120" s="747"/>
      <c r="K120" s="515" t="s">
        <v>19</v>
      </c>
      <c r="L120" s="413">
        <v>15</v>
      </c>
      <c r="M120" s="262"/>
    </row>
    <row r="121" spans="1:15" ht="14.5" x14ac:dyDescent="0.35">
      <c r="A121" s="192" t="s">
        <v>20</v>
      </c>
      <c r="B121" s="193">
        <v>45782</v>
      </c>
      <c r="C121" s="205">
        <v>1452</v>
      </c>
      <c r="D121" s="206">
        <v>55</v>
      </c>
      <c r="E121" s="207">
        <v>0</v>
      </c>
      <c r="F121" s="207">
        <v>1</v>
      </c>
      <c r="G121" s="612">
        <v>1</v>
      </c>
      <c r="H121" s="735" t="s">
        <v>73</v>
      </c>
      <c r="I121" s="746">
        <v>13</v>
      </c>
      <c r="K121" s="838"/>
      <c r="L121" s="839"/>
      <c r="M121" s="262"/>
    </row>
    <row r="122" spans="1:15" ht="14.5" x14ac:dyDescent="0.35">
      <c r="A122" s="192" t="s">
        <v>22</v>
      </c>
      <c r="B122" s="193">
        <v>45783</v>
      </c>
      <c r="C122" s="212">
        <v>449</v>
      </c>
      <c r="D122" s="213">
        <v>30</v>
      </c>
      <c r="E122" s="203">
        <v>0</v>
      </c>
      <c r="F122" s="203">
        <v>0</v>
      </c>
      <c r="G122" s="611">
        <v>0</v>
      </c>
      <c r="H122" s="734" t="s">
        <v>74</v>
      </c>
      <c r="I122" s="745">
        <v>4</v>
      </c>
      <c r="K122" s="517"/>
      <c r="L122" s="473"/>
      <c r="M122" s="262"/>
    </row>
    <row r="123" spans="1:15" ht="14.5" x14ac:dyDescent="0.35">
      <c r="A123" s="192" t="s">
        <v>24</v>
      </c>
      <c r="B123" s="193">
        <v>45784</v>
      </c>
      <c r="C123" s="214">
        <v>843</v>
      </c>
      <c r="D123" s="195">
        <v>0</v>
      </c>
      <c r="E123" s="215">
        <v>0</v>
      </c>
      <c r="F123" s="215">
        <v>0</v>
      </c>
      <c r="G123" s="615">
        <v>2</v>
      </c>
      <c r="H123" s="736" t="s">
        <v>75</v>
      </c>
      <c r="I123" s="748">
        <v>7</v>
      </c>
      <c r="K123" s="517"/>
      <c r="L123" s="473"/>
      <c r="M123" s="262"/>
    </row>
    <row r="124" spans="1:15" ht="14.5" x14ac:dyDescent="0.35">
      <c r="A124" s="192" t="s">
        <v>10</v>
      </c>
      <c r="B124" s="193">
        <v>45785</v>
      </c>
      <c r="C124" s="217">
        <v>1622</v>
      </c>
      <c r="D124" s="218">
        <v>0</v>
      </c>
      <c r="E124" s="219">
        <v>0</v>
      </c>
      <c r="F124" s="219">
        <v>0</v>
      </c>
      <c r="G124" s="691">
        <v>0</v>
      </c>
      <c r="H124" s="737" t="s">
        <v>76</v>
      </c>
      <c r="I124" s="749">
        <v>6</v>
      </c>
      <c r="K124" s="517"/>
      <c r="L124" s="473"/>
      <c r="M124" s="262"/>
    </row>
    <row r="125" spans="1:15" ht="14.5" x14ac:dyDescent="0.35">
      <c r="A125" s="192" t="s">
        <v>13</v>
      </c>
      <c r="B125" s="193">
        <v>45786</v>
      </c>
      <c r="C125" s="221">
        <v>1840</v>
      </c>
      <c r="D125" s="222">
        <v>50</v>
      </c>
      <c r="E125" s="223">
        <v>0</v>
      </c>
      <c r="F125" s="223">
        <v>0</v>
      </c>
      <c r="G125" s="692">
        <v>3</v>
      </c>
      <c r="H125" s="738" t="s">
        <v>76</v>
      </c>
      <c r="I125" s="750">
        <v>13</v>
      </c>
      <c r="K125" s="517"/>
      <c r="L125" s="473"/>
      <c r="M125" s="262"/>
    </row>
    <row r="126" spans="1:15" ht="14.5" x14ac:dyDescent="0.35">
      <c r="A126" s="192" t="s">
        <v>16</v>
      </c>
      <c r="B126" s="193">
        <v>45787</v>
      </c>
      <c r="C126" s="225">
        <v>1590</v>
      </c>
      <c r="D126" s="226">
        <v>25</v>
      </c>
      <c r="E126" s="227">
        <v>0</v>
      </c>
      <c r="F126" s="227">
        <v>0</v>
      </c>
      <c r="G126" s="693">
        <v>0</v>
      </c>
      <c r="H126" s="739" t="s">
        <v>77</v>
      </c>
      <c r="I126" s="751">
        <v>13</v>
      </c>
      <c r="K126" s="517"/>
      <c r="L126" s="473"/>
      <c r="M126" s="916" t="s">
        <v>1233</v>
      </c>
      <c r="N126" s="917" t="s">
        <v>1232</v>
      </c>
      <c r="O126" s="262"/>
    </row>
    <row r="127" spans="1:15" ht="14.5" x14ac:dyDescent="0.35">
      <c r="A127" s="192" t="s">
        <v>18</v>
      </c>
      <c r="B127" s="193">
        <v>45788</v>
      </c>
      <c r="C127" s="229"/>
      <c r="D127" s="230"/>
      <c r="E127" s="231"/>
      <c r="F127" s="231"/>
      <c r="G127" s="694"/>
      <c r="H127" s="740"/>
      <c r="I127" s="752"/>
      <c r="K127" s="517"/>
      <c r="L127" s="473"/>
      <c r="M127" s="262"/>
    </row>
    <row r="128" spans="1:15" ht="14.5" x14ac:dyDescent="0.35">
      <c r="A128" s="192" t="s">
        <v>20</v>
      </c>
      <c r="B128" s="193">
        <v>45789</v>
      </c>
      <c r="C128" s="225">
        <v>1214</v>
      </c>
      <c r="D128" s="226">
        <v>160</v>
      </c>
      <c r="E128" s="227">
        <v>0</v>
      </c>
      <c r="F128" s="227">
        <v>0</v>
      </c>
      <c r="G128" s="693">
        <v>0</v>
      </c>
      <c r="H128" s="739" t="s">
        <v>78</v>
      </c>
      <c r="I128" s="751">
        <v>6</v>
      </c>
      <c r="K128" s="262"/>
      <c r="L128" s="262"/>
      <c r="M128" s="262"/>
    </row>
    <row r="129" spans="1:13" ht="14.5" x14ac:dyDescent="0.35">
      <c r="A129" s="192" t="s">
        <v>22</v>
      </c>
      <c r="B129" s="193">
        <v>45790</v>
      </c>
      <c r="C129" s="233">
        <v>729</v>
      </c>
      <c r="D129" s="234">
        <v>80</v>
      </c>
      <c r="E129" s="235">
        <v>0</v>
      </c>
      <c r="F129" s="235">
        <v>0</v>
      </c>
      <c r="G129" s="481">
        <v>1</v>
      </c>
      <c r="H129" s="741" t="s">
        <v>79</v>
      </c>
      <c r="I129" s="753">
        <v>8</v>
      </c>
      <c r="K129" s="262"/>
      <c r="L129" s="262"/>
      <c r="M129" s="262"/>
    </row>
    <row r="130" spans="1:13" ht="14.5" x14ac:dyDescent="0.35">
      <c r="A130" s="192" t="s">
        <v>24</v>
      </c>
      <c r="B130" s="193">
        <v>45791</v>
      </c>
      <c r="C130" s="225">
        <v>1186</v>
      </c>
      <c r="D130" s="226">
        <v>0</v>
      </c>
      <c r="E130" s="227">
        <v>0</v>
      </c>
      <c r="F130" s="227">
        <v>0</v>
      </c>
      <c r="G130" s="693">
        <v>0</v>
      </c>
      <c r="H130" s="739" t="s">
        <v>78</v>
      </c>
      <c r="I130" s="751">
        <v>5</v>
      </c>
      <c r="K130" s="262"/>
      <c r="L130" s="262"/>
      <c r="M130" s="262"/>
    </row>
    <row r="131" spans="1:13" ht="14.5" x14ac:dyDescent="0.35">
      <c r="A131" s="192" t="s">
        <v>10</v>
      </c>
      <c r="B131" s="193">
        <v>45792</v>
      </c>
      <c r="C131" s="233">
        <v>1697</v>
      </c>
      <c r="D131" s="195">
        <v>0</v>
      </c>
      <c r="E131" s="215">
        <v>0</v>
      </c>
      <c r="F131" s="215">
        <v>0</v>
      </c>
      <c r="G131" s="615">
        <v>6</v>
      </c>
      <c r="H131" s="736" t="s">
        <v>80</v>
      </c>
      <c r="I131" s="748">
        <v>13</v>
      </c>
      <c r="K131" s="262"/>
      <c r="L131" s="262"/>
      <c r="M131" s="262"/>
    </row>
    <row r="132" spans="1:13" ht="14.5" x14ac:dyDescent="0.35">
      <c r="A132" s="192" t="s">
        <v>13</v>
      </c>
      <c r="B132" s="193">
        <v>45793</v>
      </c>
      <c r="C132" s="209">
        <v>1170</v>
      </c>
      <c r="D132" s="213">
        <v>0</v>
      </c>
      <c r="E132" s="203">
        <v>0</v>
      </c>
      <c r="F132" s="203">
        <v>0</v>
      </c>
      <c r="G132" s="611">
        <v>0</v>
      </c>
      <c r="H132" s="734" t="s">
        <v>81</v>
      </c>
      <c r="I132" s="745">
        <v>7</v>
      </c>
      <c r="K132" s="262"/>
      <c r="L132" s="262"/>
      <c r="M132" s="262"/>
    </row>
    <row r="133" spans="1:13" ht="14.5" x14ac:dyDescent="0.35">
      <c r="A133" s="192" t="s">
        <v>16</v>
      </c>
      <c r="B133" s="193">
        <v>45794</v>
      </c>
      <c r="C133" s="233">
        <v>972</v>
      </c>
      <c r="D133" s="234">
        <v>50</v>
      </c>
      <c r="E133" s="215">
        <v>0</v>
      </c>
      <c r="F133" s="215">
        <v>1</v>
      </c>
      <c r="G133" s="615">
        <v>2</v>
      </c>
      <c r="H133" s="736" t="s">
        <v>82</v>
      </c>
      <c r="I133" s="748">
        <v>8</v>
      </c>
      <c r="K133" s="262"/>
      <c r="L133" s="262"/>
      <c r="M133" s="262"/>
    </row>
    <row r="134" spans="1:13" ht="14.5" x14ac:dyDescent="0.35">
      <c r="A134" s="192" t="s">
        <v>18</v>
      </c>
      <c r="B134" s="193">
        <v>45795</v>
      </c>
      <c r="C134" s="237"/>
      <c r="D134" s="270"/>
      <c r="E134" s="239"/>
      <c r="F134" s="239"/>
      <c r="G134" s="695"/>
      <c r="H134" s="742"/>
      <c r="I134" s="754"/>
      <c r="K134" s="262"/>
      <c r="L134" s="262"/>
      <c r="M134" s="262"/>
    </row>
    <row r="135" spans="1:13" ht="14.5" x14ac:dyDescent="0.35">
      <c r="A135" s="192" t="s">
        <v>20</v>
      </c>
      <c r="B135" s="193">
        <v>45796</v>
      </c>
      <c r="C135" s="214">
        <v>2953</v>
      </c>
      <c r="D135" s="195">
        <v>125</v>
      </c>
      <c r="E135" s="215">
        <v>0</v>
      </c>
      <c r="F135" s="215">
        <v>0</v>
      </c>
      <c r="G135" s="615">
        <v>2</v>
      </c>
      <c r="H135" s="736" t="s">
        <v>83</v>
      </c>
      <c r="I135" s="748">
        <v>23</v>
      </c>
      <c r="K135" s="262"/>
      <c r="L135" s="262"/>
      <c r="M135" s="262"/>
    </row>
    <row r="136" spans="1:13" ht="14.5" x14ac:dyDescent="0.35">
      <c r="A136" s="192" t="s">
        <v>22</v>
      </c>
      <c r="B136" s="193">
        <v>45797</v>
      </c>
      <c r="C136" s="237">
        <v>1055</v>
      </c>
      <c r="D136" s="238">
        <v>25</v>
      </c>
      <c r="E136" s="239">
        <v>0</v>
      </c>
      <c r="F136" s="239">
        <v>0</v>
      </c>
      <c r="G136" s="695">
        <v>2</v>
      </c>
      <c r="H136" s="742" t="s">
        <v>84</v>
      </c>
      <c r="I136" s="754">
        <v>8</v>
      </c>
      <c r="K136" s="262"/>
      <c r="L136" s="262"/>
      <c r="M136" s="262"/>
    </row>
    <row r="137" spans="1:13" ht="14.5" x14ac:dyDescent="0.35">
      <c r="A137" s="192" t="s">
        <v>24</v>
      </c>
      <c r="B137" s="193">
        <v>45798</v>
      </c>
      <c r="C137" s="205">
        <v>1491</v>
      </c>
      <c r="D137" s="206">
        <v>35</v>
      </c>
      <c r="E137" s="207">
        <v>0</v>
      </c>
      <c r="F137" s="207">
        <v>1</v>
      </c>
      <c r="G137" s="612">
        <v>3</v>
      </c>
      <c r="H137" s="735" t="s">
        <v>1230</v>
      </c>
      <c r="I137" s="746">
        <v>18</v>
      </c>
      <c r="K137" s="262"/>
      <c r="L137" s="262"/>
      <c r="M137" s="262"/>
    </row>
    <row r="138" spans="1:13" ht="14.5" x14ac:dyDescent="0.35">
      <c r="A138" s="192" t="s">
        <v>10</v>
      </c>
      <c r="B138" s="193">
        <v>45799</v>
      </c>
      <c r="C138" s="209"/>
      <c r="D138" s="210"/>
      <c r="E138" s="211"/>
      <c r="F138" s="211"/>
      <c r="G138" s="287"/>
      <c r="H138" s="743" t="s">
        <v>328</v>
      </c>
      <c r="I138" s="747"/>
      <c r="K138" s="262"/>
      <c r="L138" s="262"/>
      <c r="M138" s="262"/>
    </row>
    <row r="139" spans="1:13" ht="14.5" x14ac:dyDescent="0.35">
      <c r="A139" s="192" t="s">
        <v>13</v>
      </c>
      <c r="B139" s="193">
        <v>45800</v>
      </c>
      <c r="C139" s="233"/>
      <c r="D139" s="234"/>
      <c r="E139" s="235"/>
      <c r="F139" s="235"/>
      <c r="G139" s="481"/>
      <c r="H139" s="741"/>
      <c r="I139" s="753"/>
      <c r="K139" s="262"/>
      <c r="L139" s="262"/>
      <c r="M139" s="262"/>
    </row>
    <row r="140" spans="1:13" ht="14.5" x14ac:dyDescent="0.35">
      <c r="A140" s="192" t="s">
        <v>16</v>
      </c>
      <c r="B140" s="193">
        <v>45801</v>
      </c>
      <c r="C140" s="237"/>
      <c r="D140" s="238"/>
      <c r="E140" s="239"/>
      <c r="F140" s="239"/>
      <c r="G140" s="695"/>
      <c r="H140" s="742"/>
      <c r="I140" s="754"/>
      <c r="K140" s="262"/>
      <c r="L140" s="262"/>
      <c r="M140" s="262"/>
    </row>
    <row r="141" spans="1:13" ht="14.5" x14ac:dyDescent="0.35">
      <c r="A141" s="192" t="s">
        <v>18</v>
      </c>
      <c r="B141" s="193">
        <v>45802</v>
      </c>
      <c r="C141" s="233"/>
      <c r="D141" s="234"/>
      <c r="E141" s="235"/>
      <c r="F141" s="235"/>
      <c r="G141" s="481"/>
      <c r="H141" s="741"/>
      <c r="I141" s="753"/>
      <c r="K141" s="262"/>
      <c r="L141" s="262"/>
      <c r="M141" s="262"/>
    </row>
    <row r="142" spans="1:13" ht="14.5" x14ac:dyDescent="0.35">
      <c r="A142" s="192" t="s">
        <v>20</v>
      </c>
      <c r="B142" s="193">
        <v>45803</v>
      </c>
      <c r="C142" s="209"/>
      <c r="D142" s="210"/>
      <c r="E142" s="211"/>
      <c r="F142" s="211"/>
      <c r="G142" s="287"/>
      <c r="H142" s="743"/>
      <c r="I142" s="747"/>
      <c r="K142" s="262"/>
      <c r="L142" s="262"/>
      <c r="M142" s="262"/>
    </row>
    <row r="143" spans="1:13" ht="14.5" x14ac:dyDescent="0.35">
      <c r="A143" s="192" t="s">
        <v>22</v>
      </c>
      <c r="B143" s="193">
        <v>45804</v>
      </c>
      <c r="C143" s="214"/>
      <c r="D143" s="195"/>
      <c r="E143" s="215"/>
      <c r="F143" s="215"/>
      <c r="G143" s="262"/>
      <c r="H143" s="741"/>
      <c r="I143" s="756"/>
      <c r="K143" s="262"/>
      <c r="L143" s="262"/>
      <c r="M143" s="262"/>
    </row>
    <row r="144" spans="1:13" ht="14.5" x14ac:dyDescent="0.35">
      <c r="A144" s="192" t="s">
        <v>24</v>
      </c>
      <c r="B144" s="193">
        <v>45805</v>
      </c>
      <c r="C144" s="212"/>
      <c r="D144" s="213"/>
      <c r="E144" s="203"/>
      <c r="F144" s="203"/>
      <c r="G144" s="611"/>
      <c r="H144" s="734"/>
      <c r="I144" s="745"/>
      <c r="K144" s="262"/>
      <c r="L144" s="262"/>
      <c r="M144" s="262"/>
    </row>
    <row r="145" spans="1:20" ht="14.5" x14ac:dyDescent="0.35">
      <c r="A145" s="192" t="s">
        <v>10</v>
      </c>
      <c r="B145" s="193">
        <v>45806</v>
      </c>
      <c r="C145" s="233"/>
      <c r="D145" s="195"/>
      <c r="E145" s="215"/>
      <c r="F145" s="247"/>
      <c r="G145" s="615"/>
      <c r="H145" s="736"/>
      <c r="I145" s="748"/>
      <c r="K145" s="262"/>
      <c r="L145" s="262"/>
      <c r="M145" s="262"/>
    </row>
    <row r="146" spans="1:20" ht="14.5" x14ac:dyDescent="0.35">
      <c r="A146" s="192" t="s">
        <v>13</v>
      </c>
      <c r="B146" s="193">
        <v>45807</v>
      </c>
      <c r="C146" s="212"/>
      <c r="D146" s="213"/>
      <c r="E146" s="203"/>
      <c r="F146" s="203"/>
      <c r="G146" s="611"/>
      <c r="H146" s="734"/>
      <c r="I146" s="745"/>
      <c r="K146" s="262"/>
      <c r="L146" s="262"/>
      <c r="M146" s="262"/>
    </row>
    <row r="147" spans="1:20" thickBot="1" x14ac:dyDescent="0.4">
      <c r="A147" s="192" t="s">
        <v>16</v>
      </c>
      <c r="B147" s="193">
        <v>45808</v>
      </c>
      <c r="C147" s="264"/>
      <c r="D147" s="265"/>
      <c r="E147" s="266"/>
      <c r="F147" s="266"/>
      <c r="G147" s="696"/>
      <c r="H147" s="870"/>
      <c r="I147" s="755"/>
      <c r="K147" s="262"/>
      <c r="L147" s="262"/>
      <c r="M147" s="262"/>
    </row>
    <row r="148" spans="1:20" thickBot="1" x14ac:dyDescent="0.4">
      <c r="A148" s="257"/>
      <c r="B148" s="268"/>
      <c r="C148" s="258">
        <f t="shared" ref="C148:F148" si="3">SUM(C117:C147)</f>
        <v>23276</v>
      </c>
      <c r="D148" s="259">
        <f t="shared" si="3"/>
        <v>635</v>
      </c>
      <c r="E148" s="260">
        <f t="shared" si="3"/>
        <v>0</v>
      </c>
      <c r="F148" s="884">
        <f t="shared" si="3"/>
        <v>4</v>
      </c>
      <c r="G148" s="885">
        <f>SUM(G117:G147)</f>
        <v>26</v>
      </c>
      <c r="H148" s="886"/>
      <c r="I148" s="887"/>
      <c r="K148" s="262"/>
      <c r="L148" s="262"/>
      <c r="M148" s="262"/>
    </row>
    <row r="149" spans="1:20" ht="14.5" x14ac:dyDescent="0.35">
      <c r="A149" s="262"/>
      <c r="B149" s="474"/>
      <c r="C149" s="475"/>
      <c r="D149" s="475"/>
      <c r="E149" s="476"/>
      <c r="F149" s="476"/>
      <c r="G149" s="477"/>
      <c r="H149" s="477"/>
      <c r="I149" s="262"/>
      <c r="J149" s="262"/>
      <c r="K149" s="262"/>
      <c r="L149" s="262"/>
      <c r="M149" s="262"/>
    </row>
    <row r="150" spans="1:20" ht="14.5" x14ac:dyDescent="0.35">
      <c r="A150" s="262"/>
      <c r="B150" s="474"/>
      <c r="C150" s="475"/>
      <c r="D150" s="475"/>
      <c r="E150" s="477"/>
      <c r="F150" s="477"/>
      <c r="G150" s="477"/>
      <c r="H150" s="477"/>
      <c r="I150" s="262"/>
      <c r="J150" s="262"/>
      <c r="K150" s="262"/>
      <c r="L150" s="262"/>
      <c r="M150" s="262"/>
    </row>
    <row r="151" spans="1:20" thickBot="1" x14ac:dyDescent="0.4">
      <c r="A151" s="262"/>
      <c r="B151" s="474"/>
      <c r="C151" s="475"/>
      <c r="D151" s="475"/>
      <c r="E151" s="477"/>
      <c r="F151" s="477"/>
      <c r="G151" s="477"/>
      <c r="H151" s="477"/>
      <c r="I151" s="262"/>
      <c r="J151" s="262"/>
      <c r="K151" s="262"/>
      <c r="L151" s="262"/>
      <c r="M151" s="262"/>
    </row>
    <row r="152" spans="1:20" thickBot="1" x14ac:dyDescent="0.4">
      <c r="A152" s="924" t="s">
        <v>85</v>
      </c>
      <c r="B152" s="924"/>
      <c r="C152" s="919" t="s">
        <v>1</v>
      </c>
      <c r="D152" s="919"/>
      <c r="E152" s="919"/>
      <c r="F152" s="908"/>
      <c r="G152" s="857"/>
      <c r="H152" s="924" t="s">
        <v>85</v>
      </c>
      <c r="I152" s="924"/>
      <c r="J152" s="919" t="s">
        <v>86</v>
      </c>
      <c r="K152" s="919"/>
      <c r="L152" s="919"/>
      <c r="M152" s="909"/>
      <c r="O152" s="924" t="s">
        <v>85</v>
      </c>
      <c r="P152" s="924"/>
      <c r="Q152" s="919" t="s">
        <v>87</v>
      </c>
      <c r="R152" s="919"/>
      <c r="S152" s="919"/>
      <c r="T152" s="909"/>
    </row>
    <row r="153" spans="1:20" thickBot="1" x14ac:dyDescent="0.4">
      <c r="A153" s="924"/>
      <c r="B153" s="924"/>
      <c r="C153" s="920"/>
      <c r="D153" s="920"/>
      <c r="E153" s="920"/>
      <c r="F153" s="907"/>
      <c r="G153" s="262"/>
      <c r="H153" s="924"/>
      <c r="I153" s="924"/>
      <c r="J153" s="920"/>
      <c r="K153" s="920"/>
      <c r="L153" s="920"/>
      <c r="M153" s="907"/>
      <c r="O153" s="924"/>
      <c r="P153" s="924"/>
      <c r="Q153" s="920"/>
      <c r="R153" s="920"/>
      <c r="S153" s="920"/>
      <c r="T153" s="907"/>
    </row>
    <row r="154" spans="1:20" ht="14.5" customHeight="1" thickBot="1" x14ac:dyDescent="0.45">
      <c r="A154" s="924"/>
      <c r="B154" s="924"/>
      <c r="C154" s="921" t="s">
        <v>88</v>
      </c>
      <c r="D154" s="272" t="s">
        <v>89</v>
      </c>
      <c r="E154" s="905" t="s">
        <v>90</v>
      </c>
      <c r="F154" s="903" t="s">
        <v>91</v>
      </c>
      <c r="G154" s="262"/>
      <c r="H154" s="924"/>
      <c r="I154" s="924"/>
      <c r="J154" s="921" t="s">
        <v>88</v>
      </c>
      <c r="K154" s="272" t="s">
        <v>89</v>
      </c>
      <c r="L154" s="273" t="s">
        <v>90</v>
      </c>
      <c r="M154" s="903" t="s">
        <v>91</v>
      </c>
      <c r="O154" s="924"/>
      <c r="P154" s="924"/>
      <c r="Q154" s="921" t="s">
        <v>88</v>
      </c>
      <c r="R154" s="272" t="s">
        <v>89</v>
      </c>
      <c r="S154" s="273" t="s">
        <v>90</v>
      </c>
      <c r="T154" s="903" t="s">
        <v>91</v>
      </c>
    </row>
    <row r="155" spans="1:20" ht="15" customHeight="1" x14ac:dyDescent="0.35">
      <c r="A155" s="925"/>
      <c r="B155" s="925"/>
      <c r="C155" s="922"/>
      <c r="D155" s="840" t="s">
        <v>7</v>
      </c>
      <c r="E155" s="906" t="s">
        <v>0</v>
      </c>
      <c r="F155" s="904" t="s">
        <v>0</v>
      </c>
      <c r="G155" s="262"/>
      <c r="H155" s="925"/>
      <c r="I155" s="925"/>
      <c r="J155" s="922"/>
      <c r="K155" s="840" t="s">
        <v>7</v>
      </c>
      <c r="L155" s="841" t="s">
        <v>0</v>
      </c>
      <c r="M155" s="904" t="s">
        <v>0</v>
      </c>
      <c r="O155" s="925"/>
      <c r="P155" s="925"/>
      <c r="Q155" s="922"/>
      <c r="R155" s="840" t="s">
        <v>7</v>
      </c>
      <c r="S155" s="841" t="s">
        <v>0</v>
      </c>
      <c r="T155" s="904" t="s">
        <v>0</v>
      </c>
    </row>
    <row r="156" spans="1:20" ht="16" customHeight="1" x14ac:dyDescent="0.35">
      <c r="A156" s="192" t="s">
        <v>10</v>
      </c>
      <c r="B156" s="193">
        <v>45778</v>
      </c>
      <c r="C156" s="285">
        <v>399</v>
      </c>
      <c r="D156" s="262">
        <v>10</v>
      </c>
      <c r="E156" s="682">
        <v>1</v>
      </c>
      <c r="F156" s="616">
        <v>0</v>
      </c>
      <c r="G156" s="262"/>
      <c r="H156" s="192" t="s">
        <v>10</v>
      </c>
      <c r="I156" s="193">
        <v>45778</v>
      </c>
      <c r="J156" s="285">
        <v>625</v>
      </c>
      <c r="K156" s="262">
        <v>8</v>
      </c>
      <c r="L156" s="682">
        <v>0</v>
      </c>
      <c r="M156" s="616">
        <v>0</v>
      </c>
      <c r="O156" s="192" t="s">
        <v>10</v>
      </c>
      <c r="P156" s="193">
        <v>45778</v>
      </c>
      <c r="Q156" s="285">
        <v>470</v>
      </c>
      <c r="R156" s="262">
        <v>7</v>
      </c>
      <c r="S156" s="682">
        <v>0</v>
      </c>
      <c r="T156" s="616">
        <v>1</v>
      </c>
    </row>
    <row r="157" spans="1:20" ht="14.5" customHeight="1" x14ac:dyDescent="0.35">
      <c r="A157" s="192" t="s">
        <v>13</v>
      </c>
      <c r="B157" s="193">
        <v>45779</v>
      </c>
      <c r="C157" s="280">
        <v>2384</v>
      </c>
      <c r="D157" s="197">
        <v>14</v>
      </c>
      <c r="E157" s="675">
        <v>1</v>
      </c>
      <c r="F157" s="613">
        <v>2</v>
      </c>
      <c r="G157" s="262"/>
      <c r="H157" s="192" t="s">
        <v>13</v>
      </c>
      <c r="I157" s="193">
        <v>45779</v>
      </c>
      <c r="J157" s="280">
        <v>0</v>
      </c>
      <c r="K157" s="197">
        <v>0</v>
      </c>
      <c r="L157" s="675">
        <v>0</v>
      </c>
      <c r="M157" s="613">
        <v>0</v>
      </c>
      <c r="O157" s="192" t="s">
        <v>13</v>
      </c>
      <c r="P157" s="193">
        <v>45779</v>
      </c>
      <c r="Q157" s="280">
        <v>1604</v>
      </c>
      <c r="R157" s="197">
        <v>6</v>
      </c>
      <c r="S157" s="675">
        <v>0</v>
      </c>
      <c r="T157" s="613">
        <v>2</v>
      </c>
    </row>
    <row r="158" spans="1:20" ht="14.5" x14ac:dyDescent="0.35">
      <c r="A158" s="192" t="s">
        <v>16</v>
      </c>
      <c r="B158" s="193">
        <v>45780</v>
      </c>
      <c r="C158" s="479">
        <v>461</v>
      </c>
      <c r="D158" s="262">
        <v>16</v>
      </c>
      <c r="E158" s="681">
        <v>0</v>
      </c>
      <c r="F158" s="713">
        <v>1</v>
      </c>
      <c r="G158" s="262"/>
      <c r="H158" s="192" t="s">
        <v>16</v>
      </c>
      <c r="I158" s="193">
        <v>45780</v>
      </c>
      <c r="J158" s="479">
        <v>0</v>
      </c>
      <c r="K158" s="262">
        <v>0</v>
      </c>
      <c r="L158" s="681">
        <v>0</v>
      </c>
      <c r="M158" s="713">
        <v>0</v>
      </c>
      <c r="O158" s="192" t="s">
        <v>16</v>
      </c>
      <c r="P158" s="193">
        <v>45780</v>
      </c>
      <c r="Q158" s="479">
        <v>1740</v>
      </c>
      <c r="R158" s="262">
        <v>7</v>
      </c>
      <c r="S158" s="681">
        <v>0</v>
      </c>
      <c r="T158" s="713">
        <v>2</v>
      </c>
    </row>
    <row r="159" spans="1:20" ht="14.5" x14ac:dyDescent="0.35">
      <c r="A159" s="192" t="s">
        <v>18</v>
      </c>
      <c r="B159" s="193">
        <v>45781</v>
      </c>
      <c r="C159" s="280"/>
      <c r="D159" s="197"/>
      <c r="E159" s="675"/>
      <c r="F159" s="613"/>
      <c r="G159" s="262"/>
      <c r="H159" s="192" t="s">
        <v>18</v>
      </c>
      <c r="I159" s="193">
        <v>45781</v>
      </c>
      <c r="J159" s="280"/>
      <c r="K159" s="197"/>
      <c r="L159" s="675"/>
      <c r="M159" s="613"/>
      <c r="O159" s="192" t="s">
        <v>18</v>
      </c>
      <c r="P159" s="193">
        <v>45781</v>
      </c>
      <c r="Q159" s="280"/>
      <c r="R159" s="197"/>
      <c r="S159" s="675"/>
      <c r="T159" s="613"/>
    </row>
    <row r="160" spans="1:20" ht="14.5" x14ac:dyDescent="0.35">
      <c r="A160" s="192" t="s">
        <v>20</v>
      </c>
      <c r="B160" s="193">
        <v>45782</v>
      </c>
      <c r="C160" s="283">
        <v>5846</v>
      </c>
      <c r="D160" s="262">
        <v>11</v>
      </c>
      <c r="E160" s="682">
        <v>0</v>
      </c>
      <c r="F160" s="616">
        <v>0</v>
      </c>
      <c r="G160" s="262"/>
      <c r="H160" s="192" t="s">
        <v>20</v>
      </c>
      <c r="I160" s="193">
        <v>45782</v>
      </c>
      <c r="J160" s="283">
        <v>0</v>
      </c>
      <c r="K160" s="262">
        <v>0</v>
      </c>
      <c r="L160" s="682">
        <v>0</v>
      </c>
      <c r="M160" s="616">
        <v>0</v>
      </c>
      <c r="O160" s="192" t="s">
        <v>20</v>
      </c>
      <c r="P160" s="193">
        <v>45782</v>
      </c>
      <c r="Q160" s="283">
        <v>0</v>
      </c>
      <c r="R160" s="262">
        <v>0</v>
      </c>
      <c r="S160" s="682">
        <v>0</v>
      </c>
      <c r="T160" s="616">
        <v>0</v>
      </c>
    </row>
    <row r="161" spans="1:20" ht="14.5" x14ac:dyDescent="0.35">
      <c r="A161" s="192" t="s">
        <v>22</v>
      </c>
      <c r="B161" s="193">
        <v>45783</v>
      </c>
      <c r="C161" s="283">
        <v>1376</v>
      </c>
      <c r="D161" s="197">
        <v>10</v>
      </c>
      <c r="E161" s="682">
        <v>0</v>
      </c>
      <c r="F161" s="616">
        <v>0</v>
      </c>
      <c r="G161" s="262"/>
      <c r="H161" s="192" t="s">
        <v>22</v>
      </c>
      <c r="I161" s="193">
        <v>45783</v>
      </c>
      <c r="J161" s="283">
        <v>30</v>
      </c>
      <c r="K161" s="197">
        <v>0</v>
      </c>
      <c r="L161" s="682">
        <v>0</v>
      </c>
      <c r="M161" s="616">
        <v>0</v>
      </c>
      <c r="O161" s="192" t="s">
        <v>22</v>
      </c>
      <c r="P161" s="193">
        <v>45783</v>
      </c>
      <c r="Q161" s="283">
        <v>270</v>
      </c>
      <c r="R161" s="197">
        <v>8</v>
      </c>
      <c r="S161" s="682">
        <v>0</v>
      </c>
      <c r="T161" s="616">
        <v>0</v>
      </c>
    </row>
    <row r="162" spans="1:20" ht="14.5" x14ac:dyDescent="0.35">
      <c r="A162" s="192" t="s">
        <v>24</v>
      </c>
      <c r="B162" s="193">
        <v>45784</v>
      </c>
      <c r="C162" s="480">
        <v>3388</v>
      </c>
      <c r="D162" s="262">
        <v>11</v>
      </c>
      <c r="E162" s="680">
        <v>0</v>
      </c>
      <c r="F162" s="714">
        <v>2</v>
      </c>
      <c r="G162" s="262"/>
      <c r="H162" s="192" t="s">
        <v>24</v>
      </c>
      <c r="I162" s="193">
        <v>45784</v>
      </c>
      <c r="J162" s="480">
        <v>545</v>
      </c>
      <c r="K162" s="262">
        <v>3</v>
      </c>
      <c r="L162" s="680">
        <v>0</v>
      </c>
      <c r="M162" s="714">
        <v>0</v>
      </c>
      <c r="O162" s="192" t="s">
        <v>24</v>
      </c>
      <c r="P162" s="193">
        <v>45784</v>
      </c>
      <c r="Q162" s="480">
        <v>1123</v>
      </c>
      <c r="R162" s="262">
        <v>10</v>
      </c>
      <c r="S162" s="680">
        <v>0</v>
      </c>
      <c r="T162" s="714">
        <v>3</v>
      </c>
    </row>
    <row r="163" spans="1:20" ht="14.5" x14ac:dyDescent="0.35">
      <c r="A163" s="192" t="s">
        <v>10</v>
      </c>
      <c r="B163" s="193">
        <v>45785</v>
      </c>
      <c r="C163" s="285">
        <v>1054</v>
      </c>
      <c r="D163" s="197">
        <v>9</v>
      </c>
      <c r="E163" s="678">
        <v>0</v>
      </c>
      <c r="F163" s="715">
        <v>0</v>
      </c>
      <c r="G163" s="262"/>
      <c r="H163" s="192" t="s">
        <v>10</v>
      </c>
      <c r="I163" s="193">
        <v>45785</v>
      </c>
      <c r="J163" s="285">
        <v>2332</v>
      </c>
      <c r="K163" s="197">
        <v>8</v>
      </c>
      <c r="L163" s="678">
        <v>0</v>
      </c>
      <c r="M163" s="715">
        <v>0</v>
      </c>
      <c r="O163" s="192" t="s">
        <v>10</v>
      </c>
      <c r="P163" s="193">
        <v>45785</v>
      </c>
      <c r="Q163" s="285">
        <v>1315</v>
      </c>
      <c r="R163" s="197">
        <v>9</v>
      </c>
      <c r="S163" s="678">
        <v>0</v>
      </c>
      <c r="T163" s="715">
        <v>3</v>
      </c>
    </row>
    <row r="164" spans="1:20" ht="14.5" x14ac:dyDescent="0.35">
      <c r="A164" s="192" t="s">
        <v>13</v>
      </c>
      <c r="B164" s="193">
        <v>45786</v>
      </c>
      <c r="C164" s="285">
        <v>601</v>
      </c>
      <c r="D164" s="262">
        <v>16</v>
      </c>
      <c r="E164" s="678">
        <v>0</v>
      </c>
      <c r="F164" s="715">
        <v>1</v>
      </c>
      <c r="G164" s="262"/>
      <c r="H164" s="192" t="s">
        <v>13</v>
      </c>
      <c r="I164" s="193">
        <v>45786</v>
      </c>
      <c r="J164" s="285">
        <v>390</v>
      </c>
      <c r="K164" s="262">
        <v>6</v>
      </c>
      <c r="L164" s="678">
        <v>0</v>
      </c>
      <c r="M164" s="715">
        <v>0</v>
      </c>
      <c r="O164" s="192" t="s">
        <v>13</v>
      </c>
      <c r="P164" s="193">
        <v>45786</v>
      </c>
      <c r="Q164" s="285">
        <v>934</v>
      </c>
      <c r="R164" s="262">
        <v>5</v>
      </c>
      <c r="S164" s="678">
        <v>0</v>
      </c>
      <c r="T164" s="715">
        <v>2</v>
      </c>
    </row>
    <row r="165" spans="1:20" ht="14.5" x14ac:dyDescent="0.35">
      <c r="A165" s="192" t="s">
        <v>16</v>
      </c>
      <c r="B165" s="193">
        <v>45787</v>
      </c>
      <c r="C165" s="285">
        <v>528</v>
      </c>
      <c r="D165" s="197">
        <v>14</v>
      </c>
      <c r="E165" s="680">
        <v>0</v>
      </c>
      <c r="F165" s="714">
        <v>0</v>
      </c>
      <c r="G165" s="262"/>
      <c r="H165" s="192" t="s">
        <v>16</v>
      </c>
      <c r="I165" s="193">
        <v>45787</v>
      </c>
      <c r="J165" s="285">
        <v>0</v>
      </c>
      <c r="K165" s="197">
        <v>0</v>
      </c>
      <c r="L165" s="680">
        <v>0</v>
      </c>
      <c r="M165" s="714">
        <v>0</v>
      </c>
      <c r="O165" s="192" t="s">
        <v>16</v>
      </c>
      <c r="P165" s="193">
        <v>45787</v>
      </c>
      <c r="Q165" s="285">
        <v>1910</v>
      </c>
      <c r="R165" s="197">
        <v>7</v>
      </c>
      <c r="S165" s="680">
        <v>1</v>
      </c>
      <c r="T165" s="714">
        <v>0</v>
      </c>
    </row>
    <row r="166" spans="1:20" ht="14.5" x14ac:dyDescent="0.35">
      <c r="A166" s="192" t="s">
        <v>18</v>
      </c>
      <c r="B166" s="193">
        <v>45788</v>
      </c>
      <c r="C166" s="285"/>
      <c r="D166" s="262"/>
      <c r="E166" s="678"/>
      <c r="F166" s="715"/>
      <c r="G166" s="262"/>
      <c r="H166" s="192" t="s">
        <v>18</v>
      </c>
      <c r="I166" s="193">
        <v>45788</v>
      </c>
      <c r="J166" s="285"/>
      <c r="K166" s="262"/>
      <c r="L166" s="678"/>
      <c r="M166" s="715"/>
      <c r="O166" s="192" t="s">
        <v>18</v>
      </c>
      <c r="P166" s="193">
        <v>45788</v>
      </c>
      <c r="Q166" s="285"/>
      <c r="R166" s="262"/>
      <c r="S166" s="678"/>
      <c r="T166" s="715"/>
    </row>
    <row r="167" spans="1:20" ht="14.5" customHeight="1" x14ac:dyDescent="0.35">
      <c r="A167" s="192" t="s">
        <v>20</v>
      </c>
      <c r="B167" s="193">
        <v>45789</v>
      </c>
      <c r="C167" s="285">
        <v>3809</v>
      </c>
      <c r="D167" s="197">
        <v>16</v>
      </c>
      <c r="E167" s="678">
        <v>0</v>
      </c>
      <c r="F167" s="713">
        <v>1</v>
      </c>
      <c r="G167" s="262"/>
      <c r="H167" s="192" t="s">
        <v>20</v>
      </c>
      <c r="I167" s="193">
        <v>45789</v>
      </c>
      <c r="J167" s="285">
        <v>0</v>
      </c>
      <c r="K167" s="197">
        <v>0</v>
      </c>
      <c r="L167" s="678">
        <v>0</v>
      </c>
      <c r="M167" s="713">
        <v>0</v>
      </c>
      <c r="O167" s="192" t="s">
        <v>20</v>
      </c>
      <c r="P167" s="193">
        <v>45789</v>
      </c>
      <c r="Q167" s="285">
        <v>0</v>
      </c>
      <c r="R167" s="197">
        <v>0</v>
      </c>
      <c r="S167" s="678">
        <v>0</v>
      </c>
      <c r="T167" s="713">
        <v>0</v>
      </c>
    </row>
    <row r="168" spans="1:20" ht="15" customHeight="1" x14ac:dyDescent="0.35">
      <c r="A168" s="192" t="s">
        <v>22</v>
      </c>
      <c r="B168" s="193">
        <v>45790</v>
      </c>
      <c r="C168" s="285">
        <v>1521</v>
      </c>
      <c r="D168" s="262">
        <v>8</v>
      </c>
      <c r="E168" s="678">
        <v>0</v>
      </c>
      <c r="F168" s="715">
        <v>0</v>
      </c>
      <c r="G168" s="262"/>
      <c r="H168" s="192" t="s">
        <v>22</v>
      </c>
      <c r="I168" s="193">
        <v>45790</v>
      </c>
      <c r="J168" s="285">
        <v>0</v>
      </c>
      <c r="K168" s="262">
        <v>0</v>
      </c>
      <c r="L168" s="678">
        <v>0</v>
      </c>
      <c r="M168" s="715">
        <v>0</v>
      </c>
      <c r="O168" s="192" t="s">
        <v>22</v>
      </c>
      <c r="P168" s="193">
        <v>45790</v>
      </c>
      <c r="Q168" s="285">
        <v>0</v>
      </c>
      <c r="R168" s="262">
        <v>2</v>
      </c>
      <c r="S168" s="678">
        <v>0</v>
      </c>
      <c r="T168" s="715">
        <v>0</v>
      </c>
    </row>
    <row r="169" spans="1:20" ht="16" customHeight="1" x14ac:dyDescent="0.35">
      <c r="A169" s="192" t="s">
        <v>24</v>
      </c>
      <c r="B169" s="193">
        <v>45791</v>
      </c>
      <c r="C169" s="285">
        <v>690</v>
      </c>
      <c r="D169" s="197">
        <v>11</v>
      </c>
      <c r="E169" s="681">
        <v>1</v>
      </c>
      <c r="F169" s="713">
        <v>0</v>
      </c>
      <c r="G169" s="262"/>
      <c r="H169" s="192" t="s">
        <v>24</v>
      </c>
      <c r="I169" s="193">
        <v>45791</v>
      </c>
      <c r="J169" s="285">
        <v>700</v>
      </c>
      <c r="K169" s="197">
        <v>6</v>
      </c>
      <c r="L169" s="681">
        <v>0</v>
      </c>
      <c r="M169" s="713">
        <v>0</v>
      </c>
      <c r="O169" s="192" t="s">
        <v>24</v>
      </c>
      <c r="P169" s="193">
        <v>45791</v>
      </c>
      <c r="Q169" s="285">
        <v>1657</v>
      </c>
      <c r="R169" s="197">
        <v>9</v>
      </c>
      <c r="S169" s="681">
        <v>0</v>
      </c>
      <c r="T169" s="713">
        <v>4</v>
      </c>
    </row>
    <row r="170" spans="1:20" ht="14.5" customHeight="1" x14ac:dyDescent="0.35">
      <c r="A170" s="192" t="s">
        <v>10</v>
      </c>
      <c r="B170" s="193">
        <v>45792</v>
      </c>
      <c r="C170" s="285">
        <v>2312</v>
      </c>
      <c r="D170" s="262">
        <v>15</v>
      </c>
      <c r="E170" s="682">
        <v>0</v>
      </c>
      <c r="F170" s="616">
        <v>2</v>
      </c>
      <c r="G170" s="262"/>
      <c r="H170" s="192" t="s">
        <v>10</v>
      </c>
      <c r="I170" s="193">
        <v>45792</v>
      </c>
      <c r="J170" s="285">
        <v>330</v>
      </c>
      <c r="K170" s="262">
        <v>8</v>
      </c>
      <c r="L170" s="682">
        <v>0</v>
      </c>
      <c r="M170" s="616">
        <v>0</v>
      </c>
      <c r="O170" s="192" t="s">
        <v>10</v>
      </c>
      <c r="P170" s="193">
        <v>45792</v>
      </c>
      <c r="Q170" s="285">
        <v>1432</v>
      </c>
      <c r="R170" s="262">
        <v>8</v>
      </c>
      <c r="S170" s="682">
        <v>1</v>
      </c>
      <c r="T170" s="616">
        <v>2</v>
      </c>
    </row>
    <row r="171" spans="1:20" ht="14.5" x14ac:dyDescent="0.35">
      <c r="A171" s="192" t="s">
        <v>13</v>
      </c>
      <c r="B171" s="193">
        <v>45793</v>
      </c>
      <c r="C171" s="285">
        <v>405</v>
      </c>
      <c r="D171" s="286">
        <v>13</v>
      </c>
      <c r="E171" s="681">
        <v>1</v>
      </c>
      <c r="F171" s="713">
        <v>0</v>
      </c>
      <c r="G171" s="262"/>
      <c r="H171" s="192" t="s">
        <v>13</v>
      </c>
      <c r="I171" s="193">
        <v>45793</v>
      </c>
      <c r="J171" s="285">
        <v>1302</v>
      </c>
      <c r="K171" s="286">
        <v>7</v>
      </c>
      <c r="L171" s="681">
        <v>0</v>
      </c>
      <c r="M171" s="713">
        <v>0</v>
      </c>
      <c r="O171" s="192" t="s">
        <v>13</v>
      </c>
      <c r="P171" s="193">
        <v>45793</v>
      </c>
      <c r="Q171" s="285">
        <v>945</v>
      </c>
      <c r="R171" s="286">
        <v>6</v>
      </c>
      <c r="S171" s="681">
        <v>0</v>
      </c>
      <c r="T171" s="713">
        <v>2</v>
      </c>
    </row>
    <row r="172" spans="1:20" ht="14.5" x14ac:dyDescent="0.35">
      <c r="A172" s="192" t="s">
        <v>16</v>
      </c>
      <c r="B172" s="193">
        <v>45794</v>
      </c>
      <c r="C172" s="285">
        <v>726</v>
      </c>
      <c r="D172" s="481">
        <v>8</v>
      </c>
      <c r="E172" s="675">
        <v>0</v>
      </c>
      <c r="F172" s="613">
        <v>0</v>
      </c>
      <c r="G172" s="262"/>
      <c r="H172" s="192" t="s">
        <v>16</v>
      </c>
      <c r="I172" s="193">
        <v>45794</v>
      </c>
      <c r="J172" s="285">
        <v>0</v>
      </c>
      <c r="K172" s="481">
        <v>0</v>
      </c>
      <c r="L172" s="675">
        <v>0</v>
      </c>
      <c r="M172" s="613">
        <v>0</v>
      </c>
      <c r="O172" s="192" t="s">
        <v>16</v>
      </c>
      <c r="P172" s="193">
        <v>45794</v>
      </c>
      <c r="Q172" s="285">
        <v>1481</v>
      </c>
      <c r="R172" s="481">
        <v>7</v>
      </c>
      <c r="S172" s="675">
        <v>0</v>
      </c>
      <c r="T172" s="613">
        <v>1</v>
      </c>
    </row>
    <row r="173" spans="1:20" ht="14.5" x14ac:dyDescent="0.35">
      <c r="A173" s="192" t="s">
        <v>18</v>
      </c>
      <c r="B173" s="193">
        <v>45795</v>
      </c>
      <c r="C173" s="285"/>
      <c r="D173" s="288"/>
      <c r="E173" s="682"/>
      <c r="F173" s="616"/>
      <c r="G173" s="262"/>
      <c r="H173" s="192" t="s">
        <v>18</v>
      </c>
      <c r="I173" s="193">
        <v>45795</v>
      </c>
      <c r="J173" s="285"/>
      <c r="K173" s="288"/>
      <c r="L173" s="682"/>
      <c r="M173" s="616"/>
      <c r="O173" s="192" t="s">
        <v>18</v>
      </c>
      <c r="P173" s="193">
        <v>45795</v>
      </c>
      <c r="Q173" s="285"/>
      <c r="R173" s="288"/>
      <c r="S173" s="682"/>
      <c r="T173" s="616"/>
    </row>
    <row r="174" spans="1:20" ht="15.65" customHeight="1" x14ac:dyDescent="0.35">
      <c r="A174" s="192" t="s">
        <v>20</v>
      </c>
      <c r="B174" s="193">
        <v>45796</v>
      </c>
      <c r="C174" s="285">
        <v>5225</v>
      </c>
      <c r="D174" s="481">
        <v>15</v>
      </c>
      <c r="E174" s="675">
        <v>0</v>
      </c>
      <c r="F174" s="613">
        <v>1</v>
      </c>
      <c r="G174" s="262"/>
      <c r="H174" s="192" t="s">
        <v>20</v>
      </c>
      <c r="I174" s="193">
        <v>45796</v>
      </c>
      <c r="J174" s="285">
        <v>0</v>
      </c>
      <c r="K174" s="481">
        <v>0</v>
      </c>
      <c r="L174" s="675">
        <v>0</v>
      </c>
      <c r="M174" s="613">
        <v>0</v>
      </c>
      <c r="O174" s="192" t="s">
        <v>20</v>
      </c>
      <c r="P174" s="193">
        <v>45796</v>
      </c>
      <c r="Q174" s="285">
        <v>0</v>
      </c>
      <c r="R174" s="481">
        <v>0</v>
      </c>
      <c r="S174" s="675">
        <v>0</v>
      </c>
      <c r="T174" s="613">
        <v>0</v>
      </c>
    </row>
    <row r="175" spans="1:20" ht="14.5" x14ac:dyDescent="0.35">
      <c r="A175" s="192" t="s">
        <v>22</v>
      </c>
      <c r="B175" s="193">
        <v>45797</v>
      </c>
      <c r="C175" s="285">
        <v>2654</v>
      </c>
      <c r="D175" s="286">
        <v>13</v>
      </c>
      <c r="E175" s="675">
        <v>1</v>
      </c>
      <c r="F175" s="613">
        <v>0</v>
      </c>
      <c r="G175" s="262"/>
      <c r="H175" s="192" t="s">
        <v>22</v>
      </c>
      <c r="I175" s="193">
        <v>45797</v>
      </c>
      <c r="J175" s="285">
        <v>1473</v>
      </c>
      <c r="K175" s="286">
        <v>6</v>
      </c>
      <c r="L175" s="675">
        <v>0</v>
      </c>
      <c r="M175" s="613">
        <v>0</v>
      </c>
      <c r="O175" s="192" t="s">
        <v>22</v>
      </c>
      <c r="P175" s="193">
        <v>45797</v>
      </c>
      <c r="Q175" s="285">
        <v>1308</v>
      </c>
      <c r="R175" s="286">
        <v>7</v>
      </c>
      <c r="S175" s="675">
        <v>1</v>
      </c>
      <c r="T175" s="613">
        <v>0</v>
      </c>
    </row>
    <row r="176" spans="1:20" ht="14.5" x14ac:dyDescent="0.35">
      <c r="A176" s="192" t="s">
        <v>24</v>
      </c>
      <c r="B176" s="193">
        <v>45798</v>
      </c>
      <c r="C176" s="285">
        <v>3407</v>
      </c>
      <c r="D176" s="481">
        <v>16</v>
      </c>
      <c r="E176" s="681">
        <v>0</v>
      </c>
      <c r="F176" s="713">
        <v>0</v>
      </c>
      <c r="G176" s="262"/>
      <c r="H176" s="192" t="s">
        <v>24</v>
      </c>
      <c r="I176" s="193">
        <v>45798</v>
      </c>
      <c r="J176" s="285">
        <v>565</v>
      </c>
      <c r="K176" s="481">
        <v>5</v>
      </c>
      <c r="L176" s="681">
        <v>0</v>
      </c>
      <c r="M176" s="713">
        <v>0</v>
      </c>
      <c r="O176" s="192" t="s">
        <v>24</v>
      </c>
      <c r="P176" s="193">
        <v>45798</v>
      </c>
      <c r="Q176" s="285">
        <v>1710</v>
      </c>
      <c r="R176" s="481">
        <v>10</v>
      </c>
      <c r="S176" s="681">
        <v>0</v>
      </c>
      <c r="T176" s="713">
        <v>4</v>
      </c>
    </row>
    <row r="177" spans="1:20" ht="14.5" x14ac:dyDescent="0.35">
      <c r="A177" s="192" t="s">
        <v>10</v>
      </c>
      <c r="B177" s="193">
        <v>45799</v>
      </c>
      <c r="C177" s="285"/>
      <c r="D177" s="286">
        <v>12</v>
      </c>
      <c r="E177" s="681"/>
      <c r="F177" s="713"/>
      <c r="G177" s="262"/>
      <c r="H177" s="192" t="s">
        <v>10</v>
      </c>
      <c r="I177" s="193">
        <v>45799</v>
      </c>
      <c r="J177" s="285"/>
      <c r="K177" s="286">
        <v>8</v>
      </c>
      <c r="L177" s="681"/>
      <c r="M177" s="713"/>
      <c r="O177" s="192" t="s">
        <v>10</v>
      </c>
      <c r="P177" s="193">
        <v>45799</v>
      </c>
      <c r="Q177" s="285"/>
      <c r="R177" s="286"/>
      <c r="S177" s="681"/>
      <c r="T177" s="713"/>
    </row>
    <row r="178" spans="1:20" ht="14.5" x14ac:dyDescent="0.35">
      <c r="A178" s="192" t="s">
        <v>13</v>
      </c>
      <c r="B178" s="193">
        <v>45800</v>
      </c>
      <c r="C178" s="285"/>
      <c r="D178" s="481"/>
      <c r="E178" s="675"/>
      <c r="F178" s="613"/>
      <c r="G178" s="262"/>
      <c r="H178" s="192" t="s">
        <v>13</v>
      </c>
      <c r="I178" s="193">
        <v>45800</v>
      </c>
      <c r="J178" s="285"/>
      <c r="K178" s="481"/>
      <c r="L178" s="675"/>
      <c r="M178" s="613"/>
      <c r="O178" s="192" t="s">
        <v>13</v>
      </c>
      <c r="P178" s="193">
        <v>45800</v>
      </c>
      <c r="Q178" s="285"/>
      <c r="R178" s="481"/>
      <c r="S178" s="675"/>
      <c r="T178" s="613"/>
    </row>
    <row r="179" spans="1:20" ht="14.5" x14ac:dyDescent="0.35">
      <c r="A179" s="192" t="s">
        <v>16</v>
      </c>
      <c r="B179" s="193">
        <v>45801</v>
      </c>
      <c r="C179" s="285"/>
      <c r="D179" s="286"/>
      <c r="E179" s="681"/>
      <c r="F179" s="713"/>
      <c r="G179" s="262"/>
      <c r="H179" s="192" t="s">
        <v>16</v>
      </c>
      <c r="I179" s="193">
        <v>45801</v>
      </c>
      <c r="J179" s="285"/>
      <c r="K179" s="286"/>
      <c r="L179" s="681"/>
      <c r="M179" s="713"/>
      <c r="O179" s="192" t="s">
        <v>16</v>
      </c>
      <c r="P179" s="193">
        <v>45801</v>
      </c>
      <c r="Q179" s="285"/>
      <c r="R179" s="286"/>
      <c r="S179" s="681"/>
      <c r="T179" s="713"/>
    </row>
    <row r="180" spans="1:20" ht="14.5" x14ac:dyDescent="0.35">
      <c r="A180" s="192" t="s">
        <v>18</v>
      </c>
      <c r="B180" s="193">
        <v>45802</v>
      </c>
      <c r="C180" s="482"/>
      <c r="D180" s="481"/>
      <c r="E180" s="681"/>
      <c r="F180" s="713"/>
      <c r="G180" s="262"/>
      <c r="H180" s="192" t="s">
        <v>18</v>
      </c>
      <c r="I180" s="193">
        <v>45802</v>
      </c>
      <c r="J180" s="482"/>
      <c r="K180" s="481"/>
      <c r="L180" s="681"/>
      <c r="M180" s="713"/>
      <c r="O180" s="192" t="s">
        <v>18</v>
      </c>
      <c r="P180" s="193">
        <v>45802</v>
      </c>
      <c r="Q180" s="482"/>
      <c r="R180" s="481"/>
      <c r="S180" s="681"/>
      <c r="T180" s="713"/>
    </row>
    <row r="181" spans="1:20" ht="14.5" x14ac:dyDescent="0.35">
      <c r="A181" s="192" t="s">
        <v>20</v>
      </c>
      <c r="B181" s="193">
        <v>45803</v>
      </c>
      <c r="C181" s="290"/>
      <c r="D181" s="286"/>
      <c r="E181" s="682"/>
      <c r="F181" s="616"/>
      <c r="G181" s="262"/>
      <c r="H181" s="192" t="s">
        <v>20</v>
      </c>
      <c r="I181" s="193">
        <v>45803</v>
      </c>
      <c r="J181" s="290"/>
      <c r="K181" s="286"/>
      <c r="L181" s="682"/>
      <c r="M181" s="616"/>
      <c r="O181" s="192" t="s">
        <v>20</v>
      </c>
      <c r="P181" s="193">
        <v>45803</v>
      </c>
      <c r="Q181" s="290"/>
      <c r="R181" s="286"/>
      <c r="S181" s="682"/>
      <c r="T181" s="616"/>
    </row>
    <row r="182" spans="1:20" ht="14.5" x14ac:dyDescent="0.35">
      <c r="A182" s="192" t="s">
        <v>22</v>
      </c>
      <c r="B182" s="193">
        <v>45804</v>
      </c>
      <c r="C182" s="290"/>
      <c r="D182" s="481"/>
      <c r="E182" s="682"/>
      <c r="F182" s="616"/>
      <c r="G182" s="262"/>
      <c r="H182" s="192" t="s">
        <v>22</v>
      </c>
      <c r="I182" s="193">
        <v>45804</v>
      </c>
      <c r="J182" s="290"/>
      <c r="K182" s="481"/>
      <c r="L182" s="682"/>
      <c r="M182" s="616"/>
      <c r="O182" s="192" t="s">
        <v>22</v>
      </c>
      <c r="P182" s="193">
        <v>45804</v>
      </c>
      <c r="Q182" s="290"/>
      <c r="R182" s="481"/>
      <c r="S182" s="682"/>
      <c r="T182" s="616"/>
    </row>
    <row r="183" spans="1:20" ht="14.5" x14ac:dyDescent="0.35">
      <c r="A183" s="192" t="s">
        <v>24</v>
      </c>
      <c r="B183" s="193">
        <v>45805</v>
      </c>
      <c r="C183" s="290"/>
      <c r="D183" s="286"/>
      <c r="E183" s="682"/>
      <c r="F183" s="616"/>
      <c r="G183" s="262"/>
      <c r="H183" s="192" t="s">
        <v>24</v>
      </c>
      <c r="I183" s="193">
        <v>45805</v>
      </c>
      <c r="J183" s="290"/>
      <c r="K183" s="286"/>
      <c r="L183" s="682"/>
      <c r="M183" s="616"/>
      <c r="O183" s="192" t="s">
        <v>24</v>
      </c>
      <c r="P183" s="193">
        <v>45805</v>
      </c>
      <c r="Q183" s="290"/>
      <c r="R183" s="286"/>
      <c r="S183" s="682"/>
      <c r="T183" s="616"/>
    </row>
    <row r="184" spans="1:20" ht="14.5" x14ac:dyDescent="0.35">
      <c r="A184" s="192" t="s">
        <v>10</v>
      </c>
      <c r="B184" s="193">
        <v>45806</v>
      </c>
      <c r="C184" s="290"/>
      <c r="D184" s="481"/>
      <c r="E184" s="682"/>
      <c r="F184" s="616"/>
      <c r="G184" s="262"/>
      <c r="H184" s="192" t="s">
        <v>10</v>
      </c>
      <c r="I184" s="193">
        <v>45806</v>
      </c>
      <c r="J184" s="290"/>
      <c r="K184" s="481"/>
      <c r="L184" s="682"/>
      <c r="M184" s="616"/>
      <c r="O184" s="192" t="s">
        <v>10</v>
      </c>
      <c r="P184" s="193">
        <v>45806</v>
      </c>
      <c r="Q184" s="290"/>
      <c r="R184" s="481"/>
      <c r="S184" s="682"/>
      <c r="T184" s="616"/>
    </row>
    <row r="185" spans="1:20" ht="14.5" x14ac:dyDescent="0.35">
      <c r="A185" s="192" t="s">
        <v>13</v>
      </c>
      <c r="B185" s="193">
        <v>45807</v>
      </c>
      <c r="C185" s="290"/>
      <c r="D185" s="262"/>
      <c r="E185" s="682"/>
      <c r="F185" s="616"/>
      <c r="G185" s="262"/>
      <c r="H185" s="192" t="s">
        <v>13</v>
      </c>
      <c r="I185" s="193">
        <v>45807</v>
      </c>
      <c r="J185" s="290"/>
      <c r="K185" s="262"/>
      <c r="L185" s="682"/>
      <c r="M185" s="616"/>
      <c r="O185" s="192" t="s">
        <v>13</v>
      </c>
      <c r="P185" s="193">
        <v>45807</v>
      </c>
      <c r="Q185" s="290"/>
      <c r="R185" s="262"/>
      <c r="S185" s="682"/>
      <c r="T185" s="616"/>
    </row>
    <row r="186" spans="1:20" thickBot="1" x14ac:dyDescent="0.4">
      <c r="A186" s="192" t="s">
        <v>16</v>
      </c>
      <c r="B186" s="193">
        <v>45808</v>
      </c>
      <c r="C186" s="718"/>
      <c r="D186" s="719"/>
      <c r="E186" s="720"/>
      <c r="F186" s="721"/>
      <c r="G186" s="262"/>
      <c r="H186" s="192" t="s">
        <v>16</v>
      </c>
      <c r="I186" s="193">
        <v>45808</v>
      </c>
      <c r="J186" s="718"/>
      <c r="K186" s="719"/>
      <c r="L186" s="720"/>
      <c r="M186" s="721"/>
      <c r="O186" s="192" t="s">
        <v>16</v>
      </c>
      <c r="P186" s="193">
        <v>45808</v>
      </c>
      <c r="Q186" s="718"/>
      <c r="R186" s="719"/>
      <c r="S186" s="720"/>
      <c r="T186" s="721"/>
    </row>
    <row r="187" spans="1:20" ht="14.5" x14ac:dyDescent="0.35">
      <c r="A187" s="257"/>
      <c r="B187" s="483"/>
      <c r="C187" s="484">
        <f>SUM(C155:C186)</f>
        <v>36786</v>
      </c>
      <c r="D187" s="485">
        <f>SUM(D155:D186)</f>
        <v>238</v>
      </c>
      <c r="E187" s="486">
        <f>SUM(E155:E186)</f>
        <v>5</v>
      </c>
      <c r="F187" s="487">
        <f>SUM(F155:F186)</f>
        <v>10</v>
      </c>
      <c r="H187" s="257"/>
      <c r="I187" s="483"/>
      <c r="J187" s="484">
        <f>SUM(J155:J186)</f>
        <v>8292</v>
      </c>
      <c r="K187" s="485">
        <f>SUM(K155:K186)</f>
        <v>65</v>
      </c>
      <c r="L187" s="486">
        <f>SUM(L155:L186)</f>
        <v>0</v>
      </c>
      <c r="M187" s="487">
        <f>SUM(M155:M186)</f>
        <v>0</v>
      </c>
      <c r="O187" s="257"/>
      <c r="P187" s="483"/>
      <c r="Q187" s="484">
        <f>SUM(Q155:Q186)</f>
        <v>17899</v>
      </c>
      <c r="R187" s="485">
        <f>SUM(R155:R186)</f>
        <v>108</v>
      </c>
      <c r="S187" s="486">
        <f>SUM(S155:S186)</f>
        <v>3</v>
      </c>
      <c r="T187" s="487">
        <f>SUM(T155:T186)</f>
        <v>26</v>
      </c>
    </row>
    <row r="188" spans="1:20" ht="14.5" x14ac:dyDescent="0.35">
      <c r="A188" s="262"/>
      <c r="B188" s="433"/>
      <c r="C188" s="508"/>
      <c r="D188" s="262"/>
      <c r="E188" s="508"/>
      <c r="F188" s="262"/>
      <c r="H188" s="262"/>
      <c r="I188" s="262"/>
      <c r="J188" s="262"/>
    </row>
    <row r="189" spans="1:20" ht="14.5" x14ac:dyDescent="0.35">
      <c r="A189" s="262"/>
      <c r="B189" s="262"/>
      <c r="C189" s="511"/>
      <c r="D189" s="511"/>
      <c r="E189" s="475"/>
      <c r="F189" s="511"/>
      <c r="H189" s="511"/>
      <c r="I189" s="262"/>
      <c r="J189" s="262"/>
      <c r="M189" s="262"/>
    </row>
    <row r="190" spans="1:20" ht="14.5" x14ac:dyDescent="0.35">
      <c r="A190" s="262"/>
      <c r="D190" s="511"/>
    </row>
    <row r="191" spans="1:20" ht="14.5" x14ac:dyDescent="0.35">
      <c r="E191" s="913"/>
    </row>
    <row r="192" spans="1:20" ht="14.5" x14ac:dyDescent="0.35">
      <c r="A192" s="777"/>
      <c r="B192" s="778" t="s">
        <v>92</v>
      </c>
      <c r="C192" s="779" t="s">
        <v>93</v>
      </c>
      <c r="J192" s="896" t="s">
        <v>94</v>
      </c>
      <c r="K192" s="896" t="s">
        <v>95</v>
      </c>
      <c r="L192" s="896" t="s">
        <v>96</v>
      </c>
      <c r="M192" s="780" t="s">
        <v>97</v>
      </c>
      <c r="N192" s="899" t="s">
        <v>98</v>
      </c>
    </row>
    <row r="193" spans="1:14" ht="14.5" x14ac:dyDescent="0.35">
      <c r="A193" s="781" t="s">
        <v>99</v>
      </c>
      <c r="B193" s="782">
        <f>C35/18*27</f>
        <v>70461</v>
      </c>
      <c r="C193" s="852">
        <f>B193-72000</f>
        <v>-1539</v>
      </c>
      <c r="J193" s="897">
        <v>62209</v>
      </c>
      <c r="K193" s="897">
        <v>57833</v>
      </c>
      <c r="L193" s="897">
        <v>68360</v>
      </c>
      <c r="M193" s="889">
        <v>71948</v>
      </c>
      <c r="N193" s="789">
        <f t="shared" ref="N193:N198" si="4">AVERAGE(J193:K193)</f>
        <v>60021</v>
      </c>
    </row>
    <row r="194" spans="1:14" ht="14.5" x14ac:dyDescent="0.35">
      <c r="A194" s="790" t="s">
        <v>37</v>
      </c>
      <c r="B194" s="782">
        <f>C74/18*27</f>
        <v>41854.5</v>
      </c>
      <c r="C194" s="852">
        <f>B194-56000</f>
        <v>-14145.5</v>
      </c>
      <c r="J194" s="897">
        <v>55755</v>
      </c>
      <c r="K194" s="897">
        <v>44025</v>
      </c>
      <c r="L194" s="897">
        <v>57621</v>
      </c>
      <c r="M194" s="889">
        <v>47466</v>
      </c>
      <c r="N194" s="789">
        <f t="shared" si="4"/>
        <v>49890</v>
      </c>
    </row>
    <row r="195" spans="1:14" ht="14.5" x14ac:dyDescent="0.35">
      <c r="A195" s="790" t="s">
        <v>100</v>
      </c>
      <c r="B195" s="782">
        <f>C110/18*27</f>
        <v>54855</v>
      </c>
      <c r="C195" s="842">
        <f>B195-54000</f>
        <v>855</v>
      </c>
      <c r="J195" s="897">
        <v>51074</v>
      </c>
      <c r="K195" s="897">
        <v>39270</v>
      </c>
      <c r="L195" s="897">
        <v>42919</v>
      </c>
      <c r="M195" s="889">
        <v>51305</v>
      </c>
      <c r="N195" s="789">
        <f t="shared" si="4"/>
        <v>45172</v>
      </c>
    </row>
    <row r="196" spans="1:14" ht="14.5" x14ac:dyDescent="0.35">
      <c r="A196" s="791" t="s">
        <v>70</v>
      </c>
      <c r="B196" s="782">
        <f>C148/18*27</f>
        <v>34914</v>
      </c>
      <c r="C196" s="852">
        <f>B196-38000</f>
        <v>-3086</v>
      </c>
      <c r="J196" s="897">
        <v>36729</v>
      </c>
      <c r="K196" s="897">
        <v>27225</v>
      </c>
      <c r="L196" s="897">
        <v>31999</v>
      </c>
      <c r="M196" s="889">
        <v>34204</v>
      </c>
      <c r="N196" s="789">
        <f t="shared" si="4"/>
        <v>31977</v>
      </c>
    </row>
    <row r="197" spans="1:14" ht="14.5" x14ac:dyDescent="0.35">
      <c r="A197" s="797" t="s">
        <v>88</v>
      </c>
      <c r="B197" s="798">
        <f>(C187+J187+Q187)/18*27</f>
        <v>94465.5</v>
      </c>
      <c r="C197" s="914">
        <f>B197-(45000+25000+20000)</f>
        <v>4465.5</v>
      </c>
      <c r="J197" s="897">
        <v>38776</v>
      </c>
      <c r="K197" s="897">
        <v>45274</v>
      </c>
      <c r="L197" s="897">
        <v>44604</v>
      </c>
      <c r="M197" s="889">
        <v>89992</v>
      </c>
      <c r="N197" s="789">
        <f t="shared" si="4"/>
        <v>42025</v>
      </c>
    </row>
    <row r="198" spans="1:14" ht="14.5" x14ac:dyDescent="0.35">
      <c r="A198" s="801" t="s">
        <v>101</v>
      </c>
      <c r="B198" s="802">
        <f>SUM(B193:B197)</f>
        <v>296550</v>
      </c>
      <c r="C198" s="891">
        <f>SUM(C193:C197)</f>
        <v>-13450</v>
      </c>
      <c r="J198" s="898">
        <v>244543</v>
      </c>
      <c r="K198" s="911">
        <f>SUM(K193:K197)</f>
        <v>213627</v>
      </c>
      <c r="L198" s="911">
        <f>SUM(L193:L197)</f>
        <v>245503</v>
      </c>
      <c r="M198" s="912">
        <f>SUM(M193:M197)</f>
        <v>294915</v>
      </c>
      <c r="N198" s="900">
        <f t="shared" si="4"/>
        <v>229085</v>
      </c>
    </row>
    <row r="199" spans="1:14" ht="14.5" x14ac:dyDescent="0.35">
      <c r="A199" s="810"/>
      <c r="B199" s="915">
        <f>B198/27</f>
        <v>10983.333333333334</v>
      </c>
      <c r="C199" s="810"/>
    </row>
    <row r="200" spans="1:14" ht="14.5" x14ac:dyDescent="0.35">
      <c r="A200" s="816" t="s">
        <v>102</v>
      </c>
      <c r="B200" s="780" t="s">
        <v>103</v>
      </c>
      <c r="C200" s="780" t="s">
        <v>104</v>
      </c>
      <c r="D200" s="780" t="s">
        <v>105</v>
      </c>
      <c r="E200" s="780" t="s">
        <v>106</v>
      </c>
      <c r="F200" s="780" t="s">
        <v>107</v>
      </c>
      <c r="G200" s="780" t="s">
        <v>108</v>
      </c>
      <c r="H200" s="835" t="s">
        <v>109</v>
      </c>
      <c r="I200" s="894" t="s">
        <v>110</v>
      </c>
      <c r="J200" s="780" t="s">
        <v>111</v>
      </c>
      <c r="K200" s="780" t="s">
        <v>112</v>
      </c>
      <c r="L200" s="780" t="s">
        <v>113</v>
      </c>
      <c r="M200" s="780" t="s">
        <v>114</v>
      </c>
      <c r="N200" s="818" t="s">
        <v>98</v>
      </c>
    </row>
    <row r="201" spans="1:14" ht="14.5" x14ac:dyDescent="0.35">
      <c r="A201" s="819" t="s">
        <v>99</v>
      </c>
      <c r="B201" s="786">
        <v>72600</v>
      </c>
      <c r="C201" s="787">
        <v>72030</v>
      </c>
      <c r="D201" s="787">
        <v>72545</v>
      </c>
      <c r="E201" s="786">
        <v>75155</v>
      </c>
      <c r="F201" s="784">
        <v>62987</v>
      </c>
      <c r="G201" s="784">
        <v>64844</v>
      </c>
      <c r="H201" s="863">
        <v>53912</v>
      </c>
      <c r="I201" s="888">
        <v>70795</v>
      </c>
      <c r="J201" s="783">
        <v>59678</v>
      </c>
      <c r="K201" s="784">
        <v>65325</v>
      </c>
      <c r="L201" s="785">
        <v>71363</v>
      </c>
      <c r="M201" s="785">
        <v>75374</v>
      </c>
      <c r="N201" s="789">
        <f>AVERAGE(B201:I201)</f>
        <v>68108.5</v>
      </c>
    </row>
    <row r="202" spans="1:14" ht="14.5" x14ac:dyDescent="0.35">
      <c r="A202" s="819" t="s">
        <v>37</v>
      </c>
      <c r="B202" s="786">
        <v>53980</v>
      </c>
      <c r="C202" s="787">
        <v>49420</v>
      </c>
      <c r="D202" s="787">
        <v>54821</v>
      </c>
      <c r="E202" s="786">
        <v>56018</v>
      </c>
      <c r="F202" s="784">
        <v>60228</v>
      </c>
      <c r="G202" s="784">
        <v>54103</v>
      </c>
      <c r="H202" s="863">
        <v>41310</v>
      </c>
      <c r="I202" s="888">
        <v>46158</v>
      </c>
      <c r="J202" s="783">
        <v>43365</v>
      </c>
      <c r="K202" s="784">
        <v>38287</v>
      </c>
      <c r="L202" s="785">
        <v>45858</v>
      </c>
      <c r="M202" s="785">
        <v>55612</v>
      </c>
      <c r="N202" s="789">
        <f>AVERAGE(B202:I202)</f>
        <v>52004.75</v>
      </c>
    </row>
    <row r="203" spans="1:14" ht="14.5" x14ac:dyDescent="0.35">
      <c r="A203" s="819" t="s">
        <v>100</v>
      </c>
      <c r="B203" s="786">
        <v>54118</v>
      </c>
      <c r="C203" s="787">
        <v>58320</v>
      </c>
      <c r="D203" s="787">
        <v>51390</v>
      </c>
      <c r="E203" s="786">
        <v>60136.999999999993</v>
      </c>
      <c r="F203" s="784">
        <v>56294</v>
      </c>
      <c r="G203" s="784">
        <v>71263</v>
      </c>
      <c r="H203" s="863">
        <v>57204</v>
      </c>
      <c r="I203" s="888">
        <v>56105</v>
      </c>
      <c r="J203" s="783">
        <v>43344</v>
      </c>
      <c r="K203" s="784">
        <v>54088</v>
      </c>
      <c r="L203" s="785">
        <v>56961</v>
      </c>
      <c r="M203" s="785">
        <v>56144</v>
      </c>
      <c r="N203" s="789">
        <f>AVERAGE(B203:I203)</f>
        <v>58103.875</v>
      </c>
    </row>
    <row r="204" spans="1:14" ht="14.5" x14ac:dyDescent="0.35">
      <c r="A204" s="865" t="s">
        <v>115</v>
      </c>
      <c r="B204" s="795"/>
      <c r="C204" s="796"/>
      <c r="D204" s="796">
        <v>15641</v>
      </c>
      <c r="E204" s="786">
        <v>49296</v>
      </c>
      <c r="F204" s="784">
        <v>46460</v>
      </c>
      <c r="G204" s="784">
        <v>38381</v>
      </c>
      <c r="H204" s="863">
        <v>34911</v>
      </c>
      <c r="I204" s="888">
        <v>34895</v>
      </c>
      <c r="J204" s="795"/>
      <c r="K204" s="793"/>
      <c r="L204" s="794"/>
      <c r="M204" s="794"/>
      <c r="N204" s="789">
        <f>AVERAGE(E204:I204)</f>
        <v>40788.6</v>
      </c>
    </row>
    <row r="205" spans="1:14" ht="14.5" x14ac:dyDescent="0.35">
      <c r="A205" s="819" t="s">
        <v>88</v>
      </c>
      <c r="B205" s="786">
        <v>57984</v>
      </c>
      <c r="C205" s="787">
        <v>47444</v>
      </c>
      <c r="D205" s="787">
        <v>56888</v>
      </c>
      <c r="E205" s="800">
        <v>64418</v>
      </c>
      <c r="F205" s="784">
        <v>47105</v>
      </c>
      <c r="G205" s="784">
        <v>51582</v>
      </c>
      <c r="H205" s="863">
        <v>45924</v>
      </c>
      <c r="I205" s="888">
        <v>44591</v>
      </c>
      <c r="J205" s="783">
        <v>34063</v>
      </c>
      <c r="K205" s="784">
        <v>44190</v>
      </c>
      <c r="L205" s="785">
        <v>32129</v>
      </c>
      <c r="M205" s="785">
        <v>67460</v>
      </c>
      <c r="N205" s="789">
        <f>AVERAGE(B205:I205)</f>
        <v>51992</v>
      </c>
    </row>
    <row r="206" spans="1:14" ht="14.5" x14ac:dyDescent="0.35">
      <c r="A206" s="822" t="s">
        <v>101</v>
      </c>
      <c r="B206" s="804">
        <f>SUM(B201:B205)</f>
        <v>238682</v>
      </c>
      <c r="C206" s="804">
        <f>SUM(C201:C205)</f>
        <v>227214</v>
      </c>
      <c r="D206" s="804">
        <v>251285</v>
      </c>
      <c r="E206" s="805">
        <v>305024</v>
      </c>
      <c r="F206" s="806">
        <f>SUM(F201:F205)</f>
        <v>273074</v>
      </c>
      <c r="G206" s="807">
        <v>280173</v>
      </c>
      <c r="H206" s="808">
        <v>233261</v>
      </c>
      <c r="I206" s="883">
        <f>SUM(I201:I205)</f>
        <v>252544</v>
      </c>
      <c r="J206" s="803">
        <v>180450</v>
      </c>
      <c r="K206" s="804">
        <f>SUM(K201:K205)</f>
        <v>201890</v>
      </c>
      <c r="L206" s="804">
        <f>SUM(L201:L205)</f>
        <v>206311</v>
      </c>
      <c r="M206" s="804">
        <f>SUM(M201:M205)</f>
        <v>254590</v>
      </c>
      <c r="N206" s="809">
        <f>SUM(N201:N205)</f>
        <v>270997.72499999998</v>
      </c>
    </row>
    <row r="207" spans="1:14" ht="14.5" x14ac:dyDescent="0.35">
      <c r="A207" s="810"/>
      <c r="B207" s="815"/>
      <c r="C207" s="815"/>
      <c r="D207" s="815"/>
      <c r="E207" s="815"/>
      <c r="F207" s="815"/>
      <c r="G207" s="810"/>
      <c r="H207" s="810"/>
      <c r="J207" s="815"/>
      <c r="K207" s="815"/>
      <c r="L207" s="815"/>
      <c r="M207" s="815"/>
      <c r="N207" s="810"/>
    </row>
    <row r="208" spans="1:14" ht="14.5" x14ac:dyDescent="0.35">
      <c r="A208" s="817" t="s">
        <v>102</v>
      </c>
      <c r="B208" s="816" t="s">
        <v>116</v>
      </c>
      <c r="C208" s="817" t="s">
        <v>117</v>
      </c>
      <c r="D208" s="816" t="s">
        <v>118</v>
      </c>
      <c r="E208" s="816" t="s">
        <v>119</v>
      </c>
      <c r="F208" s="816" t="s">
        <v>120</v>
      </c>
      <c r="G208" s="816" t="s">
        <v>121</v>
      </c>
      <c r="H208" s="816" t="s">
        <v>122</v>
      </c>
      <c r="I208" s="816" t="s">
        <v>123</v>
      </c>
      <c r="J208" s="816" t="s">
        <v>124</v>
      </c>
      <c r="K208" s="816" t="s">
        <v>125</v>
      </c>
      <c r="L208" s="816" t="s">
        <v>126</v>
      </c>
      <c r="M208" s="816" t="s">
        <v>127</v>
      </c>
      <c r="N208" s="818" t="s">
        <v>98</v>
      </c>
    </row>
    <row r="209" spans="1:14" ht="14.5" x14ac:dyDescent="0.35">
      <c r="A209" s="833" t="s">
        <v>99</v>
      </c>
      <c r="B209" s="819">
        <v>74979</v>
      </c>
      <c r="C209" s="820">
        <v>63950</v>
      </c>
      <c r="D209" s="819">
        <v>73973</v>
      </c>
      <c r="E209" s="819">
        <v>63776</v>
      </c>
      <c r="F209" s="819">
        <v>62209</v>
      </c>
      <c r="G209" s="819">
        <v>61961</v>
      </c>
      <c r="H209" s="819">
        <v>62927</v>
      </c>
      <c r="I209" s="819">
        <v>50792</v>
      </c>
      <c r="J209" s="819">
        <v>55786</v>
      </c>
      <c r="K209" s="819">
        <v>48081</v>
      </c>
      <c r="L209" s="819">
        <v>66142</v>
      </c>
      <c r="M209" s="819">
        <v>58127</v>
      </c>
      <c r="N209" s="821">
        <f>AVERAGE(B209:C209)</f>
        <v>69464.5</v>
      </c>
    </row>
    <row r="210" spans="1:14" ht="14.5" x14ac:dyDescent="0.35">
      <c r="A210" s="833" t="s">
        <v>37</v>
      </c>
      <c r="B210" s="819">
        <v>48870</v>
      </c>
      <c r="C210" s="820">
        <v>44783</v>
      </c>
      <c r="D210" s="819">
        <v>58612</v>
      </c>
      <c r="E210" s="819">
        <v>59247</v>
      </c>
      <c r="F210" s="819">
        <v>49882</v>
      </c>
      <c r="G210" s="819">
        <v>42564</v>
      </c>
      <c r="H210" s="819">
        <v>44217</v>
      </c>
      <c r="I210" s="819">
        <v>42911</v>
      </c>
      <c r="J210" s="819">
        <v>40388</v>
      </c>
      <c r="K210" s="819">
        <v>32034</v>
      </c>
      <c r="L210" s="819">
        <v>38086</v>
      </c>
      <c r="M210" s="819">
        <v>42706</v>
      </c>
      <c r="N210" s="821">
        <f>AVERAGE(B210:C210)</f>
        <v>46826.5</v>
      </c>
    </row>
    <row r="211" spans="1:14" ht="14.5" x14ac:dyDescent="0.35">
      <c r="A211" s="833" t="s">
        <v>100</v>
      </c>
      <c r="B211" s="819">
        <v>38487</v>
      </c>
      <c r="C211" s="820">
        <v>41827</v>
      </c>
      <c r="D211" s="819">
        <v>48432</v>
      </c>
      <c r="E211" s="819">
        <v>45807</v>
      </c>
      <c r="F211" s="819">
        <v>47219</v>
      </c>
      <c r="G211" s="819">
        <v>49140</v>
      </c>
      <c r="H211" s="819">
        <v>45889</v>
      </c>
      <c r="I211" s="819">
        <v>42002</v>
      </c>
      <c r="J211" s="819">
        <v>29164</v>
      </c>
      <c r="K211" s="819">
        <v>24425</v>
      </c>
      <c r="L211" s="819">
        <v>32384</v>
      </c>
      <c r="M211" s="819">
        <v>26635</v>
      </c>
      <c r="N211" s="821">
        <f>AVERAGE(B211:C211)</f>
        <v>40157</v>
      </c>
    </row>
    <row r="212" spans="1:14" ht="14.5" x14ac:dyDescent="0.35">
      <c r="A212" s="833" t="s">
        <v>88</v>
      </c>
      <c r="B212" s="819">
        <v>115741.16666666666</v>
      </c>
      <c r="C212" s="820">
        <v>92550</v>
      </c>
      <c r="D212" s="819">
        <v>102728</v>
      </c>
      <c r="E212" s="819">
        <v>102029</v>
      </c>
      <c r="F212" s="819">
        <v>73495</v>
      </c>
      <c r="G212" s="819">
        <v>77358</v>
      </c>
      <c r="H212" s="819">
        <v>75185</v>
      </c>
      <c r="I212" s="819">
        <v>62889</v>
      </c>
      <c r="J212" s="819">
        <v>78647</v>
      </c>
      <c r="K212" s="819">
        <v>71233</v>
      </c>
      <c r="L212" s="819">
        <v>80881</v>
      </c>
      <c r="M212" s="819">
        <v>89693</v>
      </c>
      <c r="N212" s="821">
        <f>AVERAGE(B212:C212)</f>
        <v>104145.58333333333</v>
      </c>
    </row>
    <row r="213" spans="1:14" ht="14.5" x14ac:dyDescent="0.35">
      <c r="A213" s="834" t="s">
        <v>101</v>
      </c>
      <c r="B213" s="823">
        <f>SUM(B209:B212)</f>
        <v>278077.16666666663</v>
      </c>
      <c r="C213" s="823">
        <f>SUM(C209:C212)</f>
        <v>243110</v>
      </c>
      <c r="D213" s="823">
        <v>283745</v>
      </c>
      <c r="E213" s="823">
        <v>270859</v>
      </c>
      <c r="F213" s="823">
        <v>232805</v>
      </c>
      <c r="G213" s="823">
        <v>231023</v>
      </c>
      <c r="H213" s="823">
        <v>228218</v>
      </c>
      <c r="I213" s="823">
        <v>198594</v>
      </c>
      <c r="J213" s="823">
        <v>203985</v>
      </c>
      <c r="K213" s="823">
        <v>175773</v>
      </c>
      <c r="L213" s="823">
        <v>217493</v>
      </c>
      <c r="M213" s="823">
        <v>217161</v>
      </c>
      <c r="N213" s="809">
        <f>AVERAGE(B213:C213)</f>
        <v>260593.58333333331</v>
      </c>
    </row>
    <row r="214" spans="1:14" ht="14.5" x14ac:dyDescent="0.35">
      <c r="B214" s="815"/>
      <c r="C214" s="815"/>
      <c r="D214" s="810"/>
      <c r="E214" s="810"/>
      <c r="F214" s="810"/>
      <c r="G214" s="810"/>
      <c r="H214" s="810"/>
      <c r="I214" s="810"/>
      <c r="J214" s="810"/>
      <c r="K214" s="815"/>
      <c r="L214" s="815"/>
      <c r="M214" s="815"/>
      <c r="N214" s="810"/>
    </row>
    <row r="215" spans="1:14" ht="14.5" x14ac:dyDescent="0.35">
      <c r="A215" s="817" t="s">
        <v>102</v>
      </c>
      <c r="B215" s="816" t="s">
        <v>128</v>
      </c>
      <c r="C215" s="817" t="s">
        <v>129</v>
      </c>
      <c r="D215" s="816" t="s">
        <v>130</v>
      </c>
      <c r="E215" s="816" t="s">
        <v>131</v>
      </c>
      <c r="F215" s="816" t="s">
        <v>132</v>
      </c>
      <c r="G215" s="816" t="s">
        <v>133</v>
      </c>
      <c r="H215" s="816" t="s">
        <v>134</v>
      </c>
      <c r="I215" s="816" t="s">
        <v>135</v>
      </c>
      <c r="J215" s="825" t="s">
        <v>136</v>
      </c>
      <c r="K215" s="816" t="s">
        <v>137</v>
      </c>
      <c r="L215" s="816" t="s">
        <v>138</v>
      </c>
      <c r="M215" s="816" t="s">
        <v>139</v>
      </c>
      <c r="N215" s="818" t="s">
        <v>98</v>
      </c>
    </row>
    <row r="216" spans="1:14" ht="14.5" x14ac:dyDescent="0.35">
      <c r="A216" s="833" t="s">
        <v>99</v>
      </c>
      <c r="B216" s="826">
        <v>52819.21</v>
      </c>
      <c r="C216" s="827">
        <v>53324</v>
      </c>
      <c r="D216" s="826">
        <v>61519</v>
      </c>
      <c r="E216" s="826">
        <v>70743</v>
      </c>
      <c r="F216" s="828">
        <v>55027</v>
      </c>
      <c r="G216" s="828">
        <v>54932</v>
      </c>
      <c r="H216" s="828">
        <v>43776</v>
      </c>
      <c r="I216" s="828">
        <v>49810</v>
      </c>
      <c r="J216" s="784">
        <v>75616</v>
      </c>
      <c r="K216" s="826">
        <v>68029</v>
      </c>
      <c r="L216" s="826">
        <v>59606</v>
      </c>
      <c r="M216" s="826">
        <v>63396</v>
      </c>
      <c r="N216" s="829">
        <f>AVERAGE(B216:C216)</f>
        <v>53071.604999999996</v>
      </c>
    </row>
    <row r="217" spans="1:14" ht="14.5" x14ac:dyDescent="0.35">
      <c r="A217" s="833" t="s">
        <v>37</v>
      </c>
      <c r="B217" s="826">
        <v>33459.82</v>
      </c>
      <c r="C217" s="827">
        <v>39860</v>
      </c>
      <c r="D217" s="826">
        <v>41717</v>
      </c>
      <c r="E217" s="826">
        <v>40181</v>
      </c>
      <c r="F217" s="828">
        <v>41079</v>
      </c>
      <c r="G217" s="828">
        <v>39875</v>
      </c>
      <c r="H217" s="828">
        <v>35835</v>
      </c>
      <c r="I217" s="828">
        <v>28946</v>
      </c>
      <c r="J217" s="784">
        <v>43422</v>
      </c>
      <c r="K217" s="826">
        <v>35147</v>
      </c>
      <c r="L217" s="826">
        <v>37370</v>
      </c>
      <c r="M217" s="826">
        <v>39971</v>
      </c>
      <c r="N217" s="829">
        <f>AVERAGE(B217:C217)</f>
        <v>36659.910000000003</v>
      </c>
    </row>
    <row r="218" spans="1:14" ht="14.5" x14ac:dyDescent="0.35">
      <c r="A218" s="833" t="s">
        <v>100</v>
      </c>
      <c r="B218" s="826">
        <v>13471.49</v>
      </c>
      <c r="C218" s="827">
        <v>12544</v>
      </c>
      <c r="D218" s="826">
        <v>13788</v>
      </c>
      <c r="E218" s="826">
        <v>17451</v>
      </c>
      <c r="F218" s="828">
        <v>20924</v>
      </c>
      <c r="G218" s="828">
        <v>23756</v>
      </c>
      <c r="H218" s="828">
        <v>18015</v>
      </c>
      <c r="I218" s="828">
        <v>15778</v>
      </c>
      <c r="J218" s="825" t="s">
        <v>140</v>
      </c>
      <c r="K218" s="816"/>
      <c r="L218" s="816"/>
      <c r="M218" s="826">
        <v>3428</v>
      </c>
      <c r="N218" s="829">
        <f>AVERAGE(B218:C218)</f>
        <v>13007.744999999999</v>
      </c>
    </row>
    <row r="219" spans="1:14" ht="14.5" x14ac:dyDescent="0.35">
      <c r="A219" s="833" t="s">
        <v>88</v>
      </c>
      <c r="B219" s="826">
        <v>21042</v>
      </c>
      <c r="C219" s="827">
        <v>35748</v>
      </c>
      <c r="D219" s="826">
        <v>44347</v>
      </c>
      <c r="E219" s="826">
        <v>72570</v>
      </c>
      <c r="F219" s="828">
        <v>89947</v>
      </c>
      <c r="G219" s="828">
        <v>99078</v>
      </c>
      <c r="H219" s="828">
        <v>75226</v>
      </c>
      <c r="I219" s="828">
        <v>76874</v>
      </c>
      <c r="J219" s="784">
        <v>51000</v>
      </c>
      <c r="K219" s="826">
        <v>41240</v>
      </c>
      <c r="L219" s="826">
        <v>47352</v>
      </c>
      <c r="M219" s="826">
        <v>49038</v>
      </c>
      <c r="N219" s="829">
        <f>AVERAGE(B219:C219)</f>
        <v>28395</v>
      </c>
    </row>
    <row r="220" spans="1:14" ht="14.5" x14ac:dyDescent="0.35">
      <c r="A220" s="834" t="s">
        <v>101</v>
      </c>
      <c r="B220" s="830">
        <f t="shared" ref="B220:D220" si="5">SUM(B216:B219)</f>
        <v>120792.52</v>
      </c>
      <c r="C220" s="830">
        <f t="shared" si="5"/>
        <v>141476</v>
      </c>
      <c r="D220" s="830">
        <f t="shared" si="5"/>
        <v>161371</v>
      </c>
      <c r="E220" s="830">
        <f>SUM(E216:E219)</f>
        <v>200945</v>
      </c>
      <c r="F220" s="823">
        <v>206977</v>
      </c>
      <c r="G220" s="823">
        <v>217641</v>
      </c>
      <c r="H220" s="823">
        <v>172852</v>
      </c>
      <c r="I220" s="823">
        <v>171408</v>
      </c>
      <c r="J220" s="807">
        <v>170038</v>
      </c>
      <c r="K220" s="830">
        <f>SUM(K216:K219)</f>
        <v>144416</v>
      </c>
      <c r="L220" s="830">
        <f>SUM(L216:L219)</f>
        <v>144328</v>
      </c>
      <c r="M220" s="830">
        <f>SUM(M216:M219)</f>
        <v>155833</v>
      </c>
      <c r="N220" s="830">
        <f>AVERAGE(B220:C220)</f>
        <v>131134.26</v>
      </c>
    </row>
    <row r="221" spans="1:14" ht="14.5" x14ac:dyDescent="0.35"/>
    <row r="222" spans="1:14" ht="14.5" x14ac:dyDescent="0.35"/>
    <row r="223" spans="1:14" ht="14.5" x14ac:dyDescent="0.35"/>
    <row r="224" spans="1:14" ht="14.5" x14ac:dyDescent="0.35">
      <c r="A224" s="628"/>
      <c r="B224" s="628"/>
      <c r="C224" s="542" t="s">
        <v>141</v>
      </c>
      <c r="D224" s="542" t="s">
        <v>142</v>
      </c>
      <c r="I224" s="262"/>
      <c r="J224" s="262"/>
      <c r="M224" s="262"/>
    </row>
    <row r="225" spans="1:13" s="580" customFormat="1" ht="14.5" x14ac:dyDescent="0.35">
      <c r="A225" s="192" t="s">
        <v>10</v>
      </c>
      <c r="B225" s="193">
        <v>45748</v>
      </c>
      <c r="C225" s="892">
        <f t="shared" ref="C225:C254" si="6">C4+C43+C79+C117+C156</f>
        <v>9232</v>
      </c>
      <c r="D225" s="893">
        <f>C225</f>
        <v>9232</v>
      </c>
      <c r="I225" s="623"/>
      <c r="K225"/>
      <c r="L225"/>
    </row>
    <row r="226" spans="1:13" ht="14.5" x14ac:dyDescent="0.35">
      <c r="A226" s="192" t="s">
        <v>13</v>
      </c>
      <c r="B226" s="193">
        <v>45749</v>
      </c>
      <c r="C226" s="626">
        <f t="shared" si="6"/>
        <v>8984</v>
      </c>
      <c r="D226" s="584">
        <f>C225+C226</f>
        <v>18216</v>
      </c>
      <c r="I226" s="624"/>
    </row>
    <row r="227" spans="1:13" ht="14.5" x14ac:dyDescent="0.35">
      <c r="A227" s="192" t="s">
        <v>16</v>
      </c>
      <c r="B227" s="193">
        <v>45750</v>
      </c>
      <c r="C227" s="626">
        <f t="shared" si="6"/>
        <v>7913</v>
      </c>
      <c r="D227" s="584">
        <f t="shared" ref="D227:D254" si="7">D226+C227</f>
        <v>26129</v>
      </c>
      <c r="I227" s="624"/>
    </row>
    <row r="228" spans="1:13" ht="14.5" x14ac:dyDescent="0.35">
      <c r="A228" s="192" t="s">
        <v>18</v>
      </c>
      <c r="B228" s="193">
        <v>45751</v>
      </c>
      <c r="C228" s="831">
        <f t="shared" si="6"/>
        <v>0</v>
      </c>
      <c r="D228" s="584">
        <f t="shared" si="7"/>
        <v>26129</v>
      </c>
      <c r="I228" s="624"/>
      <c r="K228" s="554"/>
      <c r="L228" s="555"/>
    </row>
    <row r="229" spans="1:13" ht="14.5" x14ac:dyDescent="0.35">
      <c r="A229" s="192" t="s">
        <v>20</v>
      </c>
      <c r="B229" s="193">
        <v>45752</v>
      </c>
      <c r="C229" s="626">
        <f t="shared" si="6"/>
        <v>14804</v>
      </c>
      <c r="D229" s="584">
        <f t="shared" si="7"/>
        <v>40933</v>
      </c>
      <c r="I229" s="624"/>
    </row>
    <row r="230" spans="1:13" ht="14.5" x14ac:dyDescent="0.35">
      <c r="A230" s="192" t="s">
        <v>22</v>
      </c>
      <c r="B230" s="193">
        <v>45753</v>
      </c>
      <c r="C230" s="626">
        <f t="shared" si="6"/>
        <v>7451</v>
      </c>
      <c r="D230" s="584">
        <f t="shared" si="7"/>
        <v>48384</v>
      </c>
      <c r="I230" s="624"/>
    </row>
    <row r="231" spans="1:13" ht="14.5" x14ac:dyDescent="0.35">
      <c r="A231" s="192" t="s">
        <v>24</v>
      </c>
      <c r="B231" s="193">
        <v>45754</v>
      </c>
      <c r="C231" s="626">
        <f t="shared" si="6"/>
        <v>8125</v>
      </c>
      <c r="D231" s="584">
        <f t="shared" si="7"/>
        <v>56509</v>
      </c>
      <c r="I231" s="624"/>
      <c r="J231" s="554"/>
      <c r="M231" s="554"/>
    </row>
    <row r="232" spans="1:13" ht="14.5" x14ac:dyDescent="0.35">
      <c r="A232" s="192" t="s">
        <v>10</v>
      </c>
      <c r="B232" s="193">
        <v>45755</v>
      </c>
      <c r="C232" s="626">
        <f t="shared" si="6"/>
        <v>8507</v>
      </c>
      <c r="D232" s="584">
        <f t="shared" si="7"/>
        <v>65016</v>
      </c>
      <c r="I232" s="625"/>
    </row>
    <row r="233" spans="1:13" ht="14.5" x14ac:dyDescent="0.35">
      <c r="A233" s="192" t="s">
        <v>13</v>
      </c>
      <c r="B233" s="193">
        <v>45756</v>
      </c>
      <c r="C233" s="626">
        <f t="shared" si="6"/>
        <v>8016</v>
      </c>
      <c r="D233" s="584">
        <f t="shared" si="7"/>
        <v>73032</v>
      </c>
      <c r="I233" s="625"/>
    </row>
    <row r="234" spans="1:13" ht="14.5" x14ac:dyDescent="0.35">
      <c r="A234" s="192" t="s">
        <v>16</v>
      </c>
      <c r="B234" s="193">
        <v>45757</v>
      </c>
      <c r="C234" s="626">
        <f t="shared" si="6"/>
        <v>10587</v>
      </c>
      <c r="D234" s="584">
        <f t="shared" si="7"/>
        <v>83619</v>
      </c>
      <c r="I234" s="625"/>
    </row>
    <row r="235" spans="1:13" ht="14.5" x14ac:dyDescent="0.35">
      <c r="A235" s="192" t="s">
        <v>18</v>
      </c>
      <c r="B235" s="193">
        <v>45758</v>
      </c>
      <c r="C235" s="626">
        <f t="shared" si="6"/>
        <v>0</v>
      </c>
      <c r="D235" s="584">
        <f t="shared" si="7"/>
        <v>83619</v>
      </c>
    </row>
    <row r="236" spans="1:13" ht="14.5" x14ac:dyDescent="0.35">
      <c r="A236" s="192" t="s">
        <v>20</v>
      </c>
      <c r="B236" s="193">
        <v>45759</v>
      </c>
      <c r="C236" s="626">
        <f t="shared" si="6"/>
        <v>12651</v>
      </c>
      <c r="D236" s="584">
        <f t="shared" si="7"/>
        <v>96270</v>
      </c>
      <c r="K236" s="580"/>
      <c r="L236" s="580"/>
    </row>
    <row r="237" spans="1:13" ht="14.5" x14ac:dyDescent="0.35">
      <c r="A237" s="192" t="s">
        <v>22</v>
      </c>
      <c r="B237" s="193">
        <v>45760</v>
      </c>
      <c r="C237" s="626">
        <f t="shared" si="6"/>
        <v>8087</v>
      </c>
      <c r="D237" s="584">
        <f t="shared" si="7"/>
        <v>104357</v>
      </c>
    </row>
    <row r="238" spans="1:13" ht="14.5" x14ac:dyDescent="0.35">
      <c r="A238" s="192" t="s">
        <v>24</v>
      </c>
      <c r="B238" s="193">
        <v>45761</v>
      </c>
      <c r="C238" s="626">
        <f>C17+C56+C92+C130+C169</f>
        <v>8836</v>
      </c>
      <c r="D238" s="584">
        <f t="shared" si="7"/>
        <v>113193</v>
      </c>
    </row>
    <row r="239" spans="1:13" s="580" customFormat="1" ht="14.5" x14ac:dyDescent="0.35">
      <c r="A239" s="192" t="s">
        <v>10</v>
      </c>
      <c r="B239" s="193">
        <v>45762</v>
      </c>
      <c r="C239" s="626">
        <f t="shared" si="6"/>
        <v>8413</v>
      </c>
      <c r="D239" s="584">
        <f t="shared" si="7"/>
        <v>121606</v>
      </c>
      <c r="K239"/>
      <c r="L239"/>
    </row>
    <row r="240" spans="1:13" ht="14.5" x14ac:dyDescent="0.35">
      <c r="A240" s="192" t="s">
        <v>13</v>
      </c>
      <c r="B240" s="193">
        <v>45763</v>
      </c>
      <c r="C240" s="626">
        <f t="shared" si="6"/>
        <v>7822</v>
      </c>
      <c r="D240" s="584">
        <f t="shared" si="7"/>
        <v>129428</v>
      </c>
    </row>
    <row r="241" spans="1:12" ht="14.5" x14ac:dyDescent="0.35">
      <c r="A241" s="192" t="s">
        <v>16</v>
      </c>
      <c r="B241" s="193">
        <v>45764</v>
      </c>
      <c r="C241" s="626">
        <f t="shared" si="6"/>
        <v>9069</v>
      </c>
      <c r="D241" s="584">
        <f t="shared" si="7"/>
        <v>138497</v>
      </c>
    </row>
    <row r="242" spans="1:12" ht="14.5" x14ac:dyDescent="0.35">
      <c r="A242" s="192" t="s">
        <v>18</v>
      </c>
      <c r="B242" s="193">
        <v>45765</v>
      </c>
      <c r="C242" s="626">
        <f t="shared" si="6"/>
        <v>0</v>
      </c>
      <c r="D242" s="584">
        <f t="shared" si="7"/>
        <v>138497</v>
      </c>
    </row>
    <row r="243" spans="1:12" ht="14.5" x14ac:dyDescent="0.35">
      <c r="A243" s="192" t="s">
        <v>20</v>
      </c>
      <c r="B243" s="193">
        <v>45766</v>
      </c>
      <c r="C243" s="626">
        <f t="shared" si="6"/>
        <v>14507</v>
      </c>
      <c r="D243" s="584">
        <f t="shared" si="7"/>
        <v>153004</v>
      </c>
      <c r="K243" s="580"/>
      <c r="L243" s="580"/>
    </row>
    <row r="244" spans="1:12" ht="15" customHeight="1" x14ac:dyDescent="0.35">
      <c r="A244" s="192" t="s">
        <v>22</v>
      </c>
      <c r="B244" s="193">
        <v>45767</v>
      </c>
      <c r="C244" s="626">
        <f t="shared" si="6"/>
        <v>9701</v>
      </c>
      <c r="D244" s="584">
        <f t="shared" si="7"/>
        <v>162705</v>
      </c>
    </row>
    <row r="245" spans="1:12" ht="15" customHeight="1" x14ac:dyDescent="0.35">
      <c r="A245" s="192" t="s">
        <v>24</v>
      </c>
      <c r="B245" s="193">
        <v>45768</v>
      </c>
      <c r="C245" s="626">
        <f t="shared" si="6"/>
        <v>8804</v>
      </c>
      <c r="D245" s="584">
        <f t="shared" si="7"/>
        <v>171509</v>
      </c>
    </row>
    <row r="246" spans="1:12" s="580" customFormat="1" ht="15" customHeight="1" x14ac:dyDescent="0.35">
      <c r="A246" s="192" t="s">
        <v>10</v>
      </c>
      <c r="B246" s="193">
        <v>45769</v>
      </c>
      <c r="C246" s="626">
        <f t="shared" si="6"/>
        <v>0</v>
      </c>
      <c r="D246" s="584">
        <f t="shared" si="7"/>
        <v>171509</v>
      </c>
      <c r="K246"/>
      <c r="L246"/>
    </row>
    <row r="247" spans="1:12" ht="15" customHeight="1" x14ac:dyDescent="0.35">
      <c r="A247" s="192" t="s">
        <v>13</v>
      </c>
      <c r="B247" s="193">
        <v>45770</v>
      </c>
      <c r="C247" s="626">
        <f t="shared" si="6"/>
        <v>0</v>
      </c>
      <c r="D247" s="584">
        <f t="shared" si="7"/>
        <v>171509</v>
      </c>
    </row>
    <row r="248" spans="1:12" ht="15" customHeight="1" x14ac:dyDescent="0.35">
      <c r="A248" s="192" t="s">
        <v>16</v>
      </c>
      <c r="B248" s="193">
        <v>45771</v>
      </c>
      <c r="C248" s="626">
        <f t="shared" si="6"/>
        <v>0</v>
      </c>
      <c r="D248" s="584">
        <f t="shared" si="7"/>
        <v>171509</v>
      </c>
    </row>
    <row r="249" spans="1:12" ht="15" customHeight="1" x14ac:dyDescent="0.35">
      <c r="A249" s="192" t="s">
        <v>18</v>
      </c>
      <c r="B249" s="193">
        <v>45772</v>
      </c>
      <c r="C249" s="626">
        <f t="shared" si="6"/>
        <v>0</v>
      </c>
      <c r="D249" s="584">
        <f t="shared" si="7"/>
        <v>171509</v>
      </c>
    </row>
    <row r="250" spans="1:12" ht="15" customHeight="1" x14ac:dyDescent="0.35">
      <c r="A250" s="192" t="s">
        <v>20</v>
      </c>
      <c r="B250" s="193">
        <v>45773</v>
      </c>
      <c r="C250" s="626">
        <f t="shared" si="6"/>
        <v>0</v>
      </c>
      <c r="D250" s="584">
        <f t="shared" si="7"/>
        <v>171509</v>
      </c>
      <c r="K250" s="580"/>
      <c r="L250" s="580"/>
    </row>
    <row r="251" spans="1:12" ht="15" customHeight="1" x14ac:dyDescent="0.35">
      <c r="A251" s="192" t="s">
        <v>22</v>
      </c>
      <c r="B251" s="193">
        <v>45774</v>
      </c>
      <c r="C251" s="626">
        <f t="shared" si="6"/>
        <v>0</v>
      </c>
      <c r="D251" s="584">
        <f t="shared" si="7"/>
        <v>171509</v>
      </c>
    </row>
    <row r="252" spans="1:12" ht="15" customHeight="1" x14ac:dyDescent="0.35">
      <c r="A252" s="192" t="s">
        <v>24</v>
      </c>
      <c r="B252" s="193">
        <v>45775</v>
      </c>
      <c r="C252" s="626">
        <f t="shared" si="6"/>
        <v>0</v>
      </c>
      <c r="D252" s="584">
        <f t="shared" si="7"/>
        <v>171509</v>
      </c>
    </row>
    <row r="253" spans="1:12" s="580" customFormat="1" ht="15" customHeight="1" x14ac:dyDescent="0.35">
      <c r="A253" s="192" t="s">
        <v>10</v>
      </c>
      <c r="B253" s="193">
        <v>45776</v>
      </c>
      <c r="C253" s="626">
        <f t="shared" si="6"/>
        <v>0</v>
      </c>
      <c r="D253" s="584">
        <f t="shared" si="7"/>
        <v>171509</v>
      </c>
      <c r="K253"/>
      <c r="L253"/>
    </row>
    <row r="254" spans="1:12" ht="15" customHeight="1" x14ac:dyDescent="0.35">
      <c r="A254" s="192" t="s">
        <v>13</v>
      </c>
      <c r="B254" s="193">
        <v>45777</v>
      </c>
      <c r="C254" s="626">
        <f t="shared" si="6"/>
        <v>0</v>
      </c>
      <c r="D254" s="584">
        <f t="shared" si="7"/>
        <v>171509</v>
      </c>
    </row>
    <row r="255" spans="1:12" ht="15" customHeight="1" x14ac:dyDescent="0.35">
      <c r="A255" s="192"/>
      <c r="B255" s="193"/>
      <c r="C255" s="626"/>
      <c r="D255" s="584">
        <f>D254+C255</f>
        <v>171509</v>
      </c>
    </row>
  </sheetData>
  <mergeCells count="22">
    <mergeCell ref="B1:F1"/>
    <mergeCell ref="B2:B3"/>
    <mergeCell ref="C2:C3"/>
    <mergeCell ref="L4:M4"/>
    <mergeCell ref="B41:B42"/>
    <mergeCell ref="C41:C42"/>
    <mergeCell ref="K43:L43"/>
    <mergeCell ref="B77:B78"/>
    <mergeCell ref="C77:C78"/>
    <mergeCell ref="K78:L78"/>
    <mergeCell ref="B115:B116"/>
    <mergeCell ref="C115:C116"/>
    <mergeCell ref="A152:B155"/>
    <mergeCell ref="C152:E153"/>
    <mergeCell ref="H152:I155"/>
    <mergeCell ref="J152:L153"/>
    <mergeCell ref="O152:P155"/>
    <mergeCell ref="Q152:S153"/>
    <mergeCell ref="C154:C155"/>
    <mergeCell ref="J154:J155"/>
    <mergeCell ref="Q154:Q155"/>
    <mergeCell ref="K117:L117"/>
  </mergeCells>
  <phoneticPr fontId="19" type="noConversion"/>
  <conditionalFormatting sqref="A4:F4 I4:I34 A5:B34 A225:B228 A225:A254 B229:B254 A255:B255">
    <cfRule type="expression" dxfId="146" priority="12">
      <formula>ISODD(ROW())</formula>
    </cfRule>
  </conditionalFormatting>
  <conditionalFormatting sqref="A43:F43 H43:I43 A79:F109">
    <cfRule type="expression" dxfId="145" priority="15">
      <formula>ISEVEN(ROW())</formula>
    </cfRule>
  </conditionalFormatting>
  <conditionalFormatting sqref="A156:F186">
    <cfRule type="expression" dxfId="144" priority="8">
      <formula>ISODD(ROW())</formula>
    </cfRule>
  </conditionalFormatting>
  <conditionalFormatting sqref="A44:I73 G80:I104 G106:I109 A117:F147 G118:I142 G144:I147">
    <cfRule type="expression" dxfId="143" priority="13">
      <formula>ISEVEN(ROW())</formula>
    </cfRule>
  </conditionalFormatting>
  <conditionalFormatting sqref="C5:F5">
    <cfRule type="expression" dxfId="142" priority="14">
      <formula>ISEVEN(ROW())</formula>
    </cfRule>
  </conditionalFormatting>
  <conditionalFormatting sqref="C6:H21 C22:G22 C23:H34">
    <cfRule type="expression" dxfId="141" priority="9">
      <formula>ISODD(ROW())</formula>
    </cfRule>
  </conditionalFormatting>
  <conditionalFormatting sqref="G5">
    <cfRule type="expression" dxfId="140" priority="10">
      <formula>ISODD(ROW())</formula>
    </cfRule>
  </conditionalFormatting>
  <conditionalFormatting sqref="H4:H5">
    <cfRule type="expression" dxfId="139" priority="5">
      <formula>ISODD(ROW())</formula>
    </cfRule>
  </conditionalFormatting>
  <conditionalFormatting sqref="H79:I79">
    <cfRule type="expression" dxfId="138" priority="4">
      <formula>ISEVEN(ROW())</formula>
    </cfRule>
  </conditionalFormatting>
  <conditionalFormatting sqref="H117:I117">
    <cfRule type="expression" dxfId="137" priority="3">
      <formula>ISEVEN(ROW())</formula>
    </cfRule>
  </conditionalFormatting>
  <conditionalFormatting sqref="H156:M186">
    <cfRule type="expression" dxfId="136" priority="7">
      <formula>ISODD(ROW())</formula>
    </cfRule>
  </conditionalFormatting>
  <conditionalFormatting sqref="M2 O3:O8 O10:O16 O18:O21 O27:O32 O34:O35 K37:K39 O41:O43 O49:O60 M55:M59 M65:M68 O65:O74 O77:O110 M111:M125 M127:M151 G154:G186">
    <cfRule type="cellIs" dxfId="135" priority="16" operator="greaterThan">
      <formula>0</formula>
    </cfRule>
    <cfRule type="cellIs" dxfId="134" priority="17" operator="lessThan">
      <formula>0</formula>
    </cfRule>
  </conditionalFormatting>
  <conditionalFormatting sqref="O126">
    <cfRule type="cellIs" dxfId="133" priority="1" operator="greaterThan">
      <formula>0</formula>
    </cfRule>
    <cfRule type="cellIs" dxfId="132" priority="2" operator="lessThan">
      <formula>0</formula>
    </cfRule>
  </conditionalFormatting>
  <conditionalFormatting sqref="O156:T186">
    <cfRule type="expression" dxfId="131" priority="6">
      <formula>ISODD(ROW())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2637-529B-469A-8821-93E4213FD15D}">
  <sheetPr>
    <tabColor theme="5"/>
  </sheetPr>
  <dimension ref="A1:T255"/>
  <sheetViews>
    <sheetView topLeftCell="A163" workbookViewId="0">
      <selection activeCell="A226" sqref="A226"/>
    </sheetView>
  </sheetViews>
  <sheetFormatPr defaultColWidth="9.1796875" defaultRowHeight="15" customHeight="1" x14ac:dyDescent="0.35"/>
  <cols>
    <col min="1" max="1" width="18.453125" customWidth="1"/>
    <col min="2" max="2" width="21" customWidth="1"/>
    <col min="3" max="3" width="16.453125" customWidth="1"/>
    <col min="4" max="4" width="16.1796875" customWidth="1"/>
    <col min="5" max="5" width="18.81640625" customWidth="1"/>
    <col min="6" max="6" width="19.54296875" customWidth="1"/>
    <col min="7" max="7" width="16.453125" customWidth="1"/>
    <col min="8" max="8" width="18.1796875" customWidth="1"/>
    <col min="9" max="9" width="16.26953125" bestFit="1" customWidth="1"/>
    <col min="10" max="10" width="15.81640625" bestFit="1" customWidth="1"/>
    <col min="11" max="11" width="17.81640625" customWidth="1"/>
    <col min="12" max="12" width="17.54296875" bestFit="1" customWidth="1"/>
    <col min="13" max="13" width="17.453125" customWidth="1"/>
    <col min="14" max="14" width="14.81640625" customWidth="1"/>
    <col min="15" max="15" width="18.453125" customWidth="1"/>
    <col min="16" max="16" width="12.54296875" customWidth="1"/>
    <col min="17" max="17" width="15.1796875" customWidth="1"/>
    <col min="18" max="18" width="9.26953125" bestFit="1" customWidth="1"/>
    <col min="19" max="19" width="17.81640625" bestFit="1" customWidth="1"/>
    <col min="20" max="20" width="17.453125" bestFit="1" customWidth="1"/>
  </cols>
  <sheetData>
    <row r="1" spans="1:15" ht="17.5" customHeight="1" thickBot="1" x14ac:dyDescent="0.5">
      <c r="A1" s="262"/>
      <c r="B1" s="930" t="s">
        <v>0</v>
      </c>
      <c r="C1" s="930"/>
      <c r="D1" s="930"/>
      <c r="E1" s="930"/>
      <c r="F1" s="930"/>
      <c r="G1" s="262"/>
      <c r="H1" s="262"/>
      <c r="I1" s="262"/>
      <c r="J1" s="262"/>
      <c r="K1" s="262"/>
      <c r="L1" s="262"/>
      <c r="M1" s="262"/>
    </row>
    <row r="2" spans="1:15" ht="15.65" customHeight="1" thickBot="1" x14ac:dyDescent="0.45">
      <c r="A2" s="348"/>
      <c r="B2" s="926" t="s">
        <v>1</v>
      </c>
      <c r="C2" s="928" t="s">
        <v>0</v>
      </c>
      <c r="D2" s="298" t="s">
        <v>2</v>
      </c>
      <c r="E2" s="184" t="s">
        <v>3</v>
      </c>
      <c r="F2" s="772" t="s">
        <v>4</v>
      </c>
      <c r="G2" s="774" t="s">
        <v>143</v>
      </c>
      <c r="H2" s="186" t="s">
        <v>6</v>
      </c>
      <c r="I2" s="910" t="s">
        <v>7</v>
      </c>
      <c r="K2" s="349"/>
      <c r="L2" s="349"/>
      <c r="M2" s="349"/>
      <c r="O2" s="349"/>
    </row>
    <row r="3" spans="1:15" ht="30.75" customHeight="1" x14ac:dyDescent="0.4">
      <c r="A3" s="497"/>
      <c r="B3" s="927"/>
      <c r="C3" s="929"/>
      <c r="D3" s="299" t="s">
        <v>0</v>
      </c>
      <c r="E3" s="498" t="s">
        <v>0</v>
      </c>
      <c r="F3" s="772" t="s">
        <v>0</v>
      </c>
      <c r="G3" s="664" t="s">
        <v>0</v>
      </c>
      <c r="H3" s="665" t="s">
        <v>8</v>
      </c>
      <c r="I3" s="666" t="s">
        <v>9</v>
      </c>
      <c r="K3" s="262"/>
      <c r="L3" s="262"/>
      <c r="M3" s="262"/>
      <c r="N3" s="262"/>
      <c r="O3" s="262"/>
    </row>
    <row r="4" spans="1:15" ht="14.5" x14ac:dyDescent="0.35">
      <c r="A4" s="192" t="s">
        <v>22</v>
      </c>
      <c r="B4" s="193">
        <v>45748</v>
      </c>
      <c r="C4" s="194">
        <v>2571</v>
      </c>
      <c r="D4" s="195">
        <v>29</v>
      </c>
      <c r="E4" s="286">
        <v>0</v>
      </c>
      <c r="F4" s="673">
        <v>1</v>
      </c>
      <c r="G4" s="858">
        <v>2</v>
      </c>
      <c r="H4" s="843" t="s">
        <v>144</v>
      </c>
      <c r="I4" s="733">
        <v>16</v>
      </c>
      <c r="K4" s="262"/>
      <c r="L4" s="923" t="s">
        <v>12</v>
      </c>
      <c r="M4" s="923"/>
      <c r="N4" s="262"/>
      <c r="O4" s="262"/>
    </row>
    <row r="5" spans="1:15" ht="14.5" x14ac:dyDescent="0.35">
      <c r="A5" s="192" t="s">
        <v>24</v>
      </c>
      <c r="B5" s="193">
        <v>45749</v>
      </c>
      <c r="C5" s="200">
        <v>1305</v>
      </c>
      <c r="D5" s="201">
        <v>29</v>
      </c>
      <c r="E5" s="557">
        <v>0</v>
      </c>
      <c r="F5" s="859">
        <v>1</v>
      </c>
      <c r="G5" s="674">
        <v>0</v>
      </c>
      <c r="H5" s="736" t="s">
        <v>145</v>
      </c>
      <c r="I5" s="734">
        <v>14</v>
      </c>
      <c r="K5" s="262"/>
      <c r="L5" s="503" t="s">
        <v>15</v>
      </c>
      <c r="M5" s="365">
        <v>70000</v>
      </c>
      <c r="N5" s="262"/>
      <c r="O5" s="262"/>
    </row>
    <row r="6" spans="1:15" ht="14.5" x14ac:dyDescent="0.35">
      <c r="A6" s="192" t="s">
        <v>10</v>
      </c>
      <c r="B6" s="193">
        <v>45750</v>
      </c>
      <c r="C6" s="205">
        <v>4290</v>
      </c>
      <c r="D6" s="206">
        <v>145</v>
      </c>
      <c r="E6" s="612">
        <v>0</v>
      </c>
      <c r="F6" s="619">
        <v>0</v>
      </c>
      <c r="G6" s="686">
        <v>1</v>
      </c>
      <c r="H6" s="844" t="s">
        <v>146</v>
      </c>
      <c r="I6" s="735">
        <v>21</v>
      </c>
      <c r="K6" s="262"/>
      <c r="L6" s="504" t="s">
        <v>17</v>
      </c>
      <c r="M6" s="371">
        <v>2200</v>
      </c>
      <c r="N6" s="262"/>
      <c r="O6" s="262"/>
    </row>
    <row r="7" spans="1:15" ht="14.5" x14ac:dyDescent="0.35">
      <c r="A7" s="192" t="s">
        <v>13</v>
      </c>
      <c r="B7" s="193">
        <v>45751</v>
      </c>
      <c r="C7" s="209">
        <v>1543</v>
      </c>
      <c r="D7" s="210">
        <v>29</v>
      </c>
      <c r="E7" s="287">
        <v>0</v>
      </c>
      <c r="F7" s="243">
        <v>0</v>
      </c>
      <c r="G7" s="686">
        <v>0</v>
      </c>
      <c r="H7" s="844" t="s">
        <v>147</v>
      </c>
      <c r="I7" s="735">
        <v>6</v>
      </c>
      <c r="K7" s="262"/>
      <c r="L7" s="515" t="s">
        <v>19</v>
      </c>
      <c r="M7" s="376">
        <v>30</v>
      </c>
      <c r="N7" s="262"/>
      <c r="O7" s="262"/>
    </row>
    <row r="8" spans="1:15" ht="14.5" x14ac:dyDescent="0.35">
      <c r="A8" s="192" t="s">
        <v>16</v>
      </c>
      <c r="B8" s="193">
        <v>45752</v>
      </c>
      <c r="C8" s="205">
        <v>2307</v>
      </c>
      <c r="D8" s="206">
        <v>87</v>
      </c>
      <c r="E8" s="612">
        <v>0</v>
      </c>
      <c r="F8" s="670">
        <v>2</v>
      </c>
      <c r="G8" s="675">
        <v>2</v>
      </c>
      <c r="H8" s="844" t="s">
        <v>148</v>
      </c>
      <c r="I8" s="735">
        <v>23</v>
      </c>
      <c r="K8" s="262"/>
      <c r="L8" s="836"/>
      <c r="M8" s="837"/>
      <c r="N8" s="262"/>
      <c r="O8" s="262"/>
    </row>
    <row r="9" spans="1:15" ht="14.5" x14ac:dyDescent="0.35">
      <c r="A9" s="192" t="s">
        <v>18</v>
      </c>
      <c r="B9" s="193">
        <v>45753</v>
      </c>
      <c r="C9" s="212"/>
      <c r="D9" s="213"/>
      <c r="E9" s="611"/>
      <c r="F9" s="672"/>
      <c r="G9" s="676"/>
      <c r="H9" s="845"/>
      <c r="I9" s="734"/>
      <c r="K9" s="262"/>
      <c r="N9" s="262"/>
      <c r="O9" s="262"/>
    </row>
    <row r="10" spans="1:15" ht="14.5" x14ac:dyDescent="0.35">
      <c r="A10" s="192" t="s">
        <v>20</v>
      </c>
      <c r="B10" s="193">
        <v>45754</v>
      </c>
      <c r="C10" s="214">
        <v>4176</v>
      </c>
      <c r="D10" s="195">
        <v>201</v>
      </c>
      <c r="E10" s="615">
        <v>0</v>
      </c>
      <c r="F10" s="246">
        <v>2</v>
      </c>
      <c r="G10" s="254">
        <v>2</v>
      </c>
      <c r="H10" s="736" t="s">
        <v>149</v>
      </c>
      <c r="I10" s="736">
        <v>28</v>
      </c>
      <c r="K10" s="262"/>
      <c r="L10" s="262"/>
      <c r="M10" s="262"/>
      <c r="N10" s="262"/>
      <c r="O10" s="262"/>
    </row>
    <row r="11" spans="1:15" ht="14.5" x14ac:dyDescent="0.35">
      <c r="A11" s="192" t="s">
        <v>22</v>
      </c>
      <c r="B11" s="193">
        <v>45755</v>
      </c>
      <c r="C11" s="217">
        <v>2484</v>
      </c>
      <c r="D11" s="218">
        <v>232</v>
      </c>
      <c r="E11" s="691">
        <v>0</v>
      </c>
      <c r="F11" s="730">
        <v>0</v>
      </c>
      <c r="G11" s="729">
        <v>2</v>
      </c>
      <c r="H11" s="737" t="s">
        <v>150</v>
      </c>
      <c r="I11" s="737">
        <v>19</v>
      </c>
      <c r="K11" s="262"/>
      <c r="L11" s="262"/>
      <c r="M11" s="262"/>
      <c r="N11" s="262"/>
      <c r="O11" s="262"/>
    </row>
    <row r="12" spans="1:15" ht="14.5" x14ac:dyDescent="0.35">
      <c r="A12" s="192" t="s">
        <v>24</v>
      </c>
      <c r="B12" s="193">
        <v>45756</v>
      </c>
      <c r="C12" s="221">
        <v>1850</v>
      </c>
      <c r="D12" s="222">
        <v>58</v>
      </c>
      <c r="E12" s="692">
        <v>0</v>
      </c>
      <c r="F12" s="731">
        <v>0</v>
      </c>
      <c r="G12" s="732">
        <v>0</v>
      </c>
      <c r="H12" s="738" t="s">
        <v>151</v>
      </c>
      <c r="I12" s="738">
        <v>14</v>
      </c>
      <c r="K12" s="262"/>
      <c r="L12" s="262"/>
      <c r="M12" s="262"/>
      <c r="N12" s="262"/>
      <c r="O12" s="262"/>
    </row>
    <row r="13" spans="1:15" ht="14.5" x14ac:dyDescent="0.35">
      <c r="A13" s="192" t="s">
        <v>10</v>
      </c>
      <c r="B13" s="193">
        <v>45757</v>
      </c>
      <c r="C13" s="225">
        <v>1446</v>
      </c>
      <c r="D13" s="226">
        <v>83</v>
      </c>
      <c r="E13" s="227">
        <v>1</v>
      </c>
      <c r="F13" s="227">
        <v>0</v>
      </c>
      <c r="G13" s="679">
        <v>1</v>
      </c>
      <c r="H13" s="739" t="s">
        <v>152</v>
      </c>
      <c r="I13" s="739">
        <v>14</v>
      </c>
      <c r="K13" s="262"/>
      <c r="L13" s="262"/>
      <c r="M13" s="262"/>
      <c r="N13" s="262"/>
      <c r="O13" s="262"/>
    </row>
    <row r="14" spans="1:15" ht="14.5" x14ac:dyDescent="0.35">
      <c r="A14" s="192" t="s">
        <v>13</v>
      </c>
      <c r="B14" s="193">
        <v>45758</v>
      </c>
      <c r="C14" s="229">
        <v>3697</v>
      </c>
      <c r="D14" s="230">
        <v>58</v>
      </c>
      <c r="E14" s="231">
        <v>0</v>
      </c>
      <c r="F14" s="231">
        <v>5</v>
      </c>
      <c r="G14" s="680">
        <v>3</v>
      </c>
      <c r="H14" s="740" t="s">
        <v>153</v>
      </c>
      <c r="I14" s="740">
        <v>27</v>
      </c>
      <c r="K14" s="262"/>
      <c r="L14" s="262"/>
      <c r="M14" s="262"/>
      <c r="N14" s="262"/>
      <c r="O14" s="262"/>
    </row>
    <row r="15" spans="1:15" ht="14.5" x14ac:dyDescent="0.35">
      <c r="A15" s="192" t="s">
        <v>16</v>
      </c>
      <c r="B15" s="193">
        <v>45759</v>
      </c>
      <c r="C15" s="225">
        <v>5407</v>
      </c>
      <c r="D15" s="226">
        <v>232</v>
      </c>
      <c r="E15" s="227">
        <v>0</v>
      </c>
      <c r="F15" s="227">
        <v>2</v>
      </c>
      <c r="G15" s="679">
        <v>1</v>
      </c>
      <c r="H15" s="846" t="s">
        <v>154</v>
      </c>
      <c r="I15" s="739">
        <v>26</v>
      </c>
      <c r="K15" s="262"/>
      <c r="L15" s="262"/>
      <c r="M15" s="262"/>
      <c r="N15" s="262"/>
      <c r="O15" s="262"/>
    </row>
    <row r="16" spans="1:15" ht="14.5" x14ac:dyDescent="0.35">
      <c r="A16" s="192" t="s">
        <v>18</v>
      </c>
      <c r="B16" s="193">
        <v>45760</v>
      </c>
      <c r="C16" s="233"/>
      <c r="D16" s="234"/>
      <c r="E16" s="235"/>
      <c r="F16" s="235"/>
      <c r="G16" s="681"/>
      <c r="H16" s="847"/>
      <c r="I16" s="741"/>
      <c r="K16" s="262"/>
      <c r="L16" s="262"/>
      <c r="M16" s="262"/>
      <c r="N16" s="262"/>
      <c r="O16" s="262"/>
    </row>
    <row r="17" spans="1:15" ht="14.5" x14ac:dyDescent="0.35">
      <c r="A17" s="192" t="s">
        <v>20</v>
      </c>
      <c r="B17" s="193">
        <v>45761</v>
      </c>
      <c r="C17" s="225">
        <v>4238</v>
      </c>
      <c r="D17" s="226">
        <v>127</v>
      </c>
      <c r="E17" s="227">
        <v>0</v>
      </c>
      <c r="F17" s="227">
        <v>0</v>
      </c>
      <c r="G17" s="679">
        <v>4</v>
      </c>
      <c r="H17" s="846" t="s">
        <v>155</v>
      </c>
      <c r="I17" s="739">
        <v>29</v>
      </c>
      <c r="K17" s="262"/>
      <c r="L17" s="262"/>
      <c r="M17" s="262"/>
      <c r="N17" s="262"/>
      <c r="O17" s="262"/>
    </row>
    <row r="18" spans="1:15" ht="14.5" x14ac:dyDescent="0.35">
      <c r="A18" s="192" t="s">
        <v>22</v>
      </c>
      <c r="B18" s="193">
        <v>45762</v>
      </c>
      <c r="C18" s="233">
        <v>3208</v>
      </c>
      <c r="D18" s="195">
        <v>87</v>
      </c>
      <c r="E18" s="215">
        <v>0</v>
      </c>
      <c r="F18" s="215">
        <v>0</v>
      </c>
      <c r="G18" s="682">
        <v>3</v>
      </c>
      <c r="H18" s="848" t="s">
        <v>156</v>
      </c>
      <c r="I18" s="736">
        <v>10</v>
      </c>
      <c r="K18" s="262"/>
      <c r="L18" s="262"/>
      <c r="M18" s="262"/>
      <c r="N18" s="262"/>
      <c r="O18" s="262"/>
    </row>
    <row r="19" spans="1:15" ht="14.5" x14ac:dyDescent="0.35">
      <c r="A19" s="192" t="s">
        <v>24</v>
      </c>
      <c r="B19" s="193">
        <v>45763</v>
      </c>
      <c r="C19" s="209">
        <v>1170</v>
      </c>
      <c r="D19" s="213">
        <v>87</v>
      </c>
      <c r="E19" s="203">
        <v>0</v>
      </c>
      <c r="F19" s="203">
        <v>1</v>
      </c>
      <c r="G19" s="676">
        <v>1</v>
      </c>
      <c r="H19" s="845" t="s">
        <v>157</v>
      </c>
      <c r="I19" s="734">
        <v>16</v>
      </c>
      <c r="K19" s="262"/>
      <c r="L19" s="262"/>
      <c r="M19" s="262"/>
      <c r="N19" s="262"/>
      <c r="O19" s="262"/>
    </row>
    <row r="20" spans="1:15" ht="14.5" x14ac:dyDescent="0.35">
      <c r="A20" s="192" t="s">
        <v>10</v>
      </c>
      <c r="B20" s="193">
        <v>45764</v>
      </c>
      <c r="C20" s="233">
        <v>2001</v>
      </c>
      <c r="D20" s="234">
        <v>58</v>
      </c>
      <c r="E20" s="215">
        <v>0</v>
      </c>
      <c r="F20" s="215">
        <v>1</v>
      </c>
      <c r="G20" s="682">
        <v>0</v>
      </c>
      <c r="H20" s="848" t="s">
        <v>158</v>
      </c>
      <c r="I20" s="736">
        <v>18</v>
      </c>
      <c r="K20" s="262"/>
      <c r="L20" s="262"/>
      <c r="M20" s="262"/>
      <c r="N20" s="262"/>
      <c r="O20" s="262"/>
    </row>
    <row r="21" spans="1:15" ht="14.5" x14ac:dyDescent="0.35">
      <c r="A21" s="192" t="s">
        <v>13</v>
      </c>
      <c r="B21" s="193">
        <v>45765</v>
      </c>
      <c r="C21" s="237">
        <v>3256</v>
      </c>
      <c r="D21" s="238">
        <v>58</v>
      </c>
      <c r="E21" s="239">
        <v>0</v>
      </c>
      <c r="F21" s="239">
        <v>1</v>
      </c>
      <c r="G21" s="683">
        <v>1</v>
      </c>
      <c r="H21" s="849" t="s">
        <v>159</v>
      </c>
      <c r="I21" s="742">
        <v>21</v>
      </c>
      <c r="K21" s="262"/>
      <c r="L21" s="262"/>
      <c r="M21" s="262"/>
      <c r="N21" s="262"/>
      <c r="O21" s="262"/>
    </row>
    <row r="22" spans="1:15" ht="14.5" x14ac:dyDescent="0.35">
      <c r="A22" s="192" t="s">
        <v>16</v>
      </c>
      <c r="B22" s="193">
        <v>45766</v>
      </c>
      <c r="C22" s="214">
        <v>3032</v>
      </c>
      <c r="D22" s="195">
        <v>149</v>
      </c>
      <c r="E22" s="215">
        <v>0</v>
      </c>
      <c r="F22" s="215">
        <v>0</v>
      </c>
      <c r="G22" s="682">
        <v>4</v>
      </c>
      <c r="H22" s="262" t="s">
        <v>160</v>
      </c>
      <c r="I22" s="736">
        <v>13</v>
      </c>
      <c r="K22" s="262"/>
      <c r="L22" s="262"/>
      <c r="M22" s="262"/>
      <c r="N22" s="262"/>
      <c r="O22" s="262"/>
    </row>
    <row r="23" spans="1:15" ht="14.5" x14ac:dyDescent="0.35">
      <c r="A23" s="192" t="s">
        <v>18</v>
      </c>
      <c r="B23" s="193">
        <v>45767</v>
      </c>
      <c r="C23" s="237"/>
      <c r="D23" s="238"/>
      <c r="E23" s="239"/>
      <c r="F23" s="239"/>
      <c r="G23" s="683"/>
      <c r="H23" s="848"/>
      <c r="I23" s="742"/>
      <c r="K23" s="262"/>
      <c r="L23" s="262"/>
      <c r="M23" s="262"/>
      <c r="N23" s="262"/>
      <c r="O23" s="262"/>
    </row>
    <row r="24" spans="1:15" ht="14.5" x14ac:dyDescent="0.35">
      <c r="A24" s="192" t="s">
        <v>20</v>
      </c>
      <c r="B24" s="193">
        <v>45768</v>
      </c>
      <c r="C24" s="205">
        <v>3659</v>
      </c>
      <c r="D24" s="206">
        <v>112</v>
      </c>
      <c r="E24" s="207">
        <v>0</v>
      </c>
      <c r="F24" s="207">
        <v>0</v>
      </c>
      <c r="G24" s="675">
        <v>2</v>
      </c>
      <c r="H24" s="844" t="s">
        <v>161</v>
      </c>
      <c r="I24" s="735">
        <v>22</v>
      </c>
      <c r="K24" s="262"/>
      <c r="L24" s="262"/>
      <c r="M24" s="262"/>
      <c r="N24" s="262"/>
      <c r="O24" s="262"/>
    </row>
    <row r="25" spans="1:15" ht="14.5" x14ac:dyDescent="0.35">
      <c r="A25" s="192" t="s">
        <v>22</v>
      </c>
      <c r="B25" s="193">
        <v>45769</v>
      </c>
      <c r="C25" s="209">
        <v>3174</v>
      </c>
      <c r="D25" s="210">
        <v>203</v>
      </c>
      <c r="E25" s="211">
        <v>0</v>
      </c>
      <c r="F25" s="211">
        <v>2</v>
      </c>
      <c r="G25" s="684">
        <v>5</v>
      </c>
      <c r="H25" s="850" t="s">
        <v>162</v>
      </c>
      <c r="I25" s="743">
        <v>27</v>
      </c>
      <c r="K25" s="262"/>
      <c r="L25" s="262"/>
      <c r="M25" s="262"/>
      <c r="N25" s="262"/>
      <c r="O25" s="262"/>
    </row>
    <row r="26" spans="1:15" ht="14.5" x14ac:dyDescent="0.35">
      <c r="A26" s="192" t="s">
        <v>24</v>
      </c>
      <c r="B26" s="193">
        <v>45770</v>
      </c>
      <c r="C26" s="233">
        <v>2477</v>
      </c>
      <c r="D26" s="234">
        <v>116</v>
      </c>
      <c r="E26" s="235">
        <v>0</v>
      </c>
      <c r="F26" s="235">
        <v>0</v>
      </c>
      <c r="G26" s="681">
        <v>3</v>
      </c>
      <c r="H26" s="847" t="s">
        <v>163</v>
      </c>
      <c r="I26" s="741">
        <v>17</v>
      </c>
      <c r="K26" s="262"/>
      <c r="L26" s="262"/>
      <c r="M26" s="262"/>
      <c r="N26" s="262"/>
      <c r="O26" s="262"/>
    </row>
    <row r="27" spans="1:15" ht="14.5" x14ac:dyDescent="0.35">
      <c r="A27" s="192" t="s">
        <v>10</v>
      </c>
      <c r="B27" s="193">
        <v>45771</v>
      </c>
      <c r="C27" s="237">
        <v>3089</v>
      </c>
      <c r="D27" s="238">
        <v>0</v>
      </c>
      <c r="E27" s="239">
        <v>0</v>
      </c>
      <c r="F27" s="239">
        <v>1</v>
      </c>
      <c r="G27" s="683">
        <v>2</v>
      </c>
      <c r="H27" s="849" t="s">
        <v>164</v>
      </c>
      <c r="I27" s="742">
        <v>15</v>
      </c>
      <c r="K27" s="262"/>
      <c r="L27" s="262"/>
      <c r="M27" s="262"/>
      <c r="N27" s="262"/>
      <c r="O27" s="262"/>
    </row>
    <row r="28" spans="1:15" ht="14.5" x14ac:dyDescent="0.35">
      <c r="A28" s="192" t="s">
        <v>13</v>
      </c>
      <c r="B28" s="193">
        <v>45772</v>
      </c>
      <c r="C28" s="233">
        <v>2488</v>
      </c>
      <c r="D28" s="234">
        <v>140</v>
      </c>
      <c r="E28" s="235">
        <v>0</v>
      </c>
      <c r="F28" s="235">
        <v>1</v>
      </c>
      <c r="G28" s="681">
        <v>2</v>
      </c>
      <c r="H28" s="847" t="s">
        <v>165</v>
      </c>
      <c r="I28" s="741">
        <v>23</v>
      </c>
      <c r="K28" s="262"/>
      <c r="L28" s="262"/>
      <c r="M28" s="262"/>
      <c r="N28" s="262"/>
      <c r="O28" s="262"/>
    </row>
    <row r="29" spans="1:15" ht="14.5" x14ac:dyDescent="0.35">
      <c r="A29" s="192" t="s">
        <v>16</v>
      </c>
      <c r="B29" s="193">
        <v>45773</v>
      </c>
      <c r="C29" s="209">
        <v>2848</v>
      </c>
      <c r="D29" s="242">
        <v>265</v>
      </c>
      <c r="E29" s="243">
        <v>0</v>
      </c>
      <c r="F29" s="244">
        <v>1</v>
      </c>
      <c r="G29" s="684">
        <v>1</v>
      </c>
      <c r="H29" s="850" t="s">
        <v>166</v>
      </c>
      <c r="I29" s="743">
        <v>14</v>
      </c>
      <c r="K29" s="262"/>
      <c r="L29" s="262"/>
      <c r="M29" s="262"/>
      <c r="N29" s="262"/>
      <c r="O29" s="262"/>
    </row>
    <row r="30" spans="1:15" ht="14.5" x14ac:dyDescent="0.35">
      <c r="A30" s="192" t="s">
        <v>18</v>
      </c>
      <c r="B30" s="193">
        <v>45774</v>
      </c>
      <c r="C30" s="214"/>
      <c r="D30" s="245"/>
      <c r="E30" s="246"/>
      <c r="F30" s="247"/>
      <c r="G30" s="246"/>
      <c r="H30" s="848"/>
      <c r="I30" s="736"/>
      <c r="K30" s="262"/>
      <c r="L30" s="262"/>
      <c r="M30" s="508"/>
      <c r="N30" s="262"/>
      <c r="O30" s="262"/>
    </row>
    <row r="31" spans="1:15" ht="14.5" x14ac:dyDescent="0.35">
      <c r="A31" s="192" t="s">
        <v>20</v>
      </c>
      <c r="B31" s="193">
        <v>45775</v>
      </c>
      <c r="C31" s="214">
        <v>2114</v>
      </c>
      <c r="D31" s="249">
        <v>69</v>
      </c>
      <c r="E31" s="246">
        <v>0</v>
      </c>
      <c r="F31" s="247">
        <v>0</v>
      </c>
      <c r="G31" s="682">
        <v>3</v>
      </c>
      <c r="H31" s="848" t="s">
        <v>167</v>
      </c>
      <c r="I31" s="736">
        <v>12</v>
      </c>
      <c r="K31" s="262"/>
      <c r="L31" s="262"/>
      <c r="M31" s="508"/>
      <c r="N31" s="262"/>
      <c r="O31" s="262"/>
    </row>
    <row r="32" spans="1:15" ht="14.5" x14ac:dyDescent="0.35">
      <c r="A32" s="192" t="s">
        <v>22</v>
      </c>
      <c r="B32" s="193">
        <v>45776</v>
      </c>
      <c r="C32" s="214">
        <v>2492</v>
      </c>
      <c r="D32" s="249">
        <v>87</v>
      </c>
      <c r="E32" s="246">
        <v>0</v>
      </c>
      <c r="F32" s="247">
        <v>3</v>
      </c>
      <c r="G32" s="682">
        <v>6</v>
      </c>
      <c r="H32" s="848" t="s">
        <v>168</v>
      </c>
      <c r="I32" s="736">
        <v>16</v>
      </c>
      <c r="K32" s="262"/>
      <c r="L32" s="262"/>
      <c r="M32" s="508"/>
      <c r="N32" s="262"/>
      <c r="O32" s="262"/>
    </row>
    <row r="33" spans="1:15" ht="14.5" x14ac:dyDescent="0.35">
      <c r="A33" s="192" t="s">
        <v>24</v>
      </c>
      <c r="B33" s="193">
        <v>45777</v>
      </c>
      <c r="C33" s="252">
        <v>1626</v>
      </c>
      <c r="D33" s="253">
        <v>87</v>
      </c>
      <c r="E33" s="246">
        <v>0</v>
      </c>
      <c r="F33" s="254">
        <v>1</v>
      </c>
      <c r="G33" s="682">
        <v>5</v>
      </c>
      <c r="H33" s="848" t="s">
        <v>169</v>
      </c>
      <c r="I33" s="736">
        <v>19</v>
      </c>
      <c r="K33" s="262"/>
      <c r="L33" s="262"/>
      <c r="M33" s="262"/>
      <c r="N33" s="262"/>
      <c r="O33" s="262"/>
    </row>
    <row r="34" spans="1:15" ht="14.5" x14ac:dyDescent="0.35">
      <c r="A34" s="192"/>
      <c r="B34" s="193"/>
      <c r="C34" s="252"/>
      <c r="D34" s="252"/>
      <c r="E34" s="246"/>
      <c r="F34" s="246"/>
      <c r="G34" s="685"/>
      <c r="H34" s="848" t="s">
        <v>11</v>
      </c>
      <c r="I34" s="736"/>
      <c r="K34" s="262"/>
      <c r="L34" s="262"/>
      <c r="M34" s="508"/>
      <c r="N34" s="262"/>
      <c r="O34" s="262"/>
    </row>
    <row r="35" spans="1:15" thickBot="1" x14ac:dyDescent="0.4">
      <c r="A35" s="257"/>
      <c r="B35" s="651"/>
      <c r="C35" s="653">
        <f t="shared" ref="C35:F35" si="0">SUM(C4:C34)</f>
        <v>71948</v>
      </c>
      <c r="D35" s="654">
        <f t="shared" si="0"/>
        <v>2828</v>
      </c>
      <c r="E35" s="655">
        <f t="shared" si="0"/>
        <v>1</v>
      </c>
      <c r="F35" s="884">
        <f t="shared" si="0"/>
        <v>25</v>
      </c>
      <c r="G35" s="885">
        <f>SUM(G4:G34)</f>
        <v>56</v>
      </c>
      <c r="H35" s="886"/>
      <c r="I35" s="887"/>
      <c r="K35" s="262"/>
      <c r="L35" s="262"/>
      <c r="M35" s="262"/>
      <c r="N35" s="262"/>
      <c r="O35" s="262"/>
    </row>
    <row r="36" spans="1:15" ht="14.5" x14ac:dyDescent="0.35">
      <c r="A36" s="262"/>
      <c r="B36" s="474"/>
      <c r="C36" s="509"/>
      <c r="D36" s="510"/>
      <c r="E36" s="475"/>
      <c r="F36" s="652"/>
      <c r="G36" s="262"/>
      <c r="H36" s="262"/>
      <c r="I36" s="262"/>
      <c r="J36" s="262"/>
      <c r="K36" s="262"/>
      <c r="L36" s="262"/>
      <c r="M36" s="262"/>
    </row>
    <row r="37" spans="1:15" ht="14.5" x14ac:dyDescent="0.35">
      <c r="A37" s="262"/>
      <c r="B37" s="474"/>
      <c r="C37" s="508"/>
      <c r="D37" s="508"/>
      <c r="E37" s="475"/>
      <c r="F37" s="511"/>
      <c r="G37" s="262"/>
      <c r="H37" s="262"/>
      <c r="I37" s="262"/>
      <c r="J37" s="262"/>
      <c r="K37" s="262"/>
      <c r="L37" s="262"/>
      <c r="M37" s="262"/>
    </row>
    <row r="38" spans="1:15" ht="14.5" x14ac:dyDescent="0.35">
      <c r="A38" s="262"/>
      <c r="B38" s="474"/>
      <c r="C38" s="475"/>
      <c r="D38" s="508"/>
      <c r="E38" s="475"/>
      <c r="F38" s="511"/>
      <c r="G38" s="262"/>
      <c r="H38" s="262"/>
      <c r="I38" s="262"/>
      <c r="J38" s="262"/>
      <c r="K38" s="262"/>
      <c r="L38" s="262"/>
      <c r="M38" s="262"/>
    </row>
    <row r="39" spans="1:15" ht="14.5" x14ac:dyDescent="0.35">
      <c r="A39" s="262"/>
      <c r="B39" s="474"/>
      <c r="C39" s="508"/>
      <c r="D39" s="508"/>
      <c r="E39" s="508"/>
      <c r="F39" s="262"/>
      <c r="G39" s="262"/>
      <c r="H39" s="262"/>
      <c r="I39" s="262"/>
      <c r="J39" s="262"/>
      <c r="K39" s="262"/>
      <c r="L39" s="262"/>
      <c r="M39" s="262"/>
    </row>
    <row r="40" spans="1:15" ht="19" thickBot="1" x14ac:dyDescent="0.5">
      <c r="A40" s="262"/>
      <c r="B40" s="474"/>
      <c r="C40" s="508"/>
      <c r="D40" s="512"/>
      <c r="E40" s="508"/>
      <c r="F40" s="262"/>
      <c r="G40" s="262"/>
      <c r="H40" s="262"/>
      <c r="I40" s="262"/>
      <c r="J40" s="262"/>
      <c r="K40" s="262"/>
      <c r="L40" s="262"/>
      <c r="M40" s="262"/>
    </row>
    <row r="41" spans="1:15" ht="15.65" customHeight="1" thickBot="1" x14ac:dyDescent="0.45">
      <c r="A41" s="348"/>
      <c r="B41" s="931" t="s">
        <v>37</v>
      </c>
      <c r="C41" s="928" t="s">
        <v>0</v>
      </c>
      <c r="D41" s="298" t="s">
        <v>2</v>
      </c>
      <c r="E41" s="184" t="s">
        <v>3</v>
      </c>
      <c r="F41" s="772" t="s">
        <v>4</v>
      </c>
      <c r="G41" s="774" t="s">
        <v>143</v>
      </c>
      <c r="H41" s="186" t="s">
        <v>6</v>
      </c>
      <c r="I41" s="773" t="s">
        <v>7</v>
      </c>
      <c r="M41" s="349"/>
      <c r="O41" s="349"/>
    </row>
    <row r="42" spans="1:15" ht="29.25" customHeight="1" x14ac:dyDescent="0.4">
      <c r="A42" s="497"/>
      <c r="B42" s="932"/>
      <c r="C42" s="929"/>
      <c r="D42" s="299" t="s">
        <v>0</v>
      </c>
      <c r="E42" s="188" t="s">
        <v>0</v>
      </c>
      <c r="F42" s="772" t="s">
        <v>0</v>
      </c>
      <c r="G42" s="664" t="s">
        <v>0</v>
      </c>
      <c r="H42" s="665" t="s">
        <v>8</v>
      </c>
      <c r="I42" s="666" t="s">
        <v>9</v>
      </c>
      <c r="M42" s="262"/>
      <c r="O42" s="262"/>
    </row>
    <row r="43" spans="1:15" ht="14.5" x14ac:dyDescent="0.35">
      <c r="A43" s="192" t="s">
        <v>22</v>
      </c>
      <c r="B43" s="193">
        <v>45748</v>
      </c>
      <c r="C43" s="194">
        <v>2972</v>
      </c>
      <c r="D43" s="195">
        <v>325</v>
      </c>
      <c r="E43" s="286">
        <v>0</v>
      </c>
      <c r="F43" s="855">
        <v>2</v>
      </c>
      <c r="G43" s="727">
        <v>6</v>
      </c>
      <c r="H43" s="869" t="s">
        <v>170</v>
      </c>
      <c r="I43" s="744">
        <v>16</v>
      </c>
      <c r="K43" s="923" t="s">
        <v>12</v>
      </c>
      <c r="L43" s="923"/>
      <c r="M43" s="262"/>
      <c r="O43" s="262"/>
    </row>
    <row r="44" spans="1:15" ht="14.5" x14ac:dyDescent="0.35">
      <c r="A44" s="192" t="s">
        <v>24</v>
      </c>
      <c r="B44" s="193">
        <v>45749</v>
      </c>
      <c r="C44" s="212">
        <v>1038</v>
      </c>
      <c r="D44" s="213">
        <v>65</v>
      </c>
      <c r="E44" s="203">
        <v>0</v>
      </c>
      <c r="F44" s="676">
        <v>0</v>
      </c>
      <c r="G44" s="690">
        <v>0</v>
      </c>
      <c r="H44" s="736" t="s">
        <v>171</v>
      </c>
      <c r="I44" s="745">
        <v>6</v>
      </c>
      <c r="K44" s="513" t="s">
        <v>15</v>
      </c>
      <c r="L44" s="409">
        <v>55000</v>
      </c>
      <c r="M44" s="262"/>
      <c r="O44" s="262"/>
    </row>
    <row r="45" spans="1:15" ht="14.5" x14ac:dyDescent="0.35">
      <c r="A45" s="192" t="s">
        <v>10</v>
      </c>
      <c r="B45" s="193">
        <v>45750</v>
      </c>
      <c r="C45" s="205">
        <v>2565</v>
      </c>
      <c r="D45" s="206">
        <v>105</v>
      </c>
      <c r="E45" s="207">
        <v>0</v>
      </c>
      <c r="F45" s="675">
        <v>0</v>
      </c>
      <c r="G45" s="507">
        <v>4</v>
      </c>
      <c r="H45" s="735" t="s">
        <v>172</v>
      </c>
      <c r="I45" s="746">
        <v>14</v>
      </c>
      <c r="K45" s="504" t="s">
        <v>17</v>
      </c>
      <c r="L45" s="411">
        <v>2000</v>
      </c>
      <c r="M45" s="262"/>
      <c r="O45" s="262"/>
    </row>
    <row r="46" spans="1:15" ht="14.5" x14ac:dyDescent="0.35">
      <c r="A46" s="192" t="s">
        <v>13</v>
      </c>
      <c r="B46" s="193">
        <v>45751</v>
      </c>
      <c r="C46" s="209">
        <v>2764</v>
      </c>
      <c r="D46" s="210">
        <v>25</v>
      </c>
      <c r="E46" s="211">
        <v>0</v>
      </c>
      <c r="F46" s="684">
        <v>0</v>
      </c>
      <c r="G46" s="279">
        <v>0</v>
      </c>
      <c r="H46" s="743" t="s">
        <v>172</v>
      </c>
      <c r="I46" s="747">
        <v>6</v>
      </c>
      <c r="K46" s="515" t="s">
        <v>19</v>
      </c>
      <c r="L46" s="413">
        <v>15</v>
      </c>
      <c r="M46" s="262"/>
      <c r="O46" s="262"/>
    </row>
    <row r="47" spans="1:15" ht="14.5" x14ac:dyDescent="0.35">
      <c r="A47" s="192" t="s">
        <v>16</v>
      </c>
      <c r="B47" s="193">
        <v>45752</v>
      </c>
      <c r="C47" s="205">
        <v>2082</v>
      </c>
      <c r="D47" s="206">
        <v>185</v>
      </c>
      <c r="E47" s="207">
        <v>0</v>
      </c>
      <c r="F47" s="675">
        <v>1</v>
      </c>
      <c r="G47" s="507">
        <v>2</v>
      </c>
      <c r="H47" s="735" t="s">
        <v>173</v>
      </c>
      <c r="I47" s="746">
        <v>7</v>
      </c>
      <c r="K47" s="838"/>
      <c r="L47" s="839"/>
      <c r="M47" s="262"/>
      <c r="O47" s="262"/>
    </row>
    <row r="48" spans="1:15" ht="14.5" x14ac:dyDescent="0.35">
      <c r="A48" s="192" t="s">
        <v>18</v>
      </c>
      <c r="B48" s="193">
        <v>45753</v>
      </c>
      <c r="C48" s="212"/>
      <c r="D48" s="213"/>
      <c r="E48" s="203"/>
      <c r="F48" s="676"/>
      <c r="G48" s="690"/>
      <c r="H48" s="734"/>
      <c r="I48" s="745"/>
      <c r="K48" s="262"/>
      <c r="L48" s="262"/>
      <c r="M48" s="262"/>
      <c r="O48" s="262"/>
    </row>
    <row r="49" spans="1:15" ht="14.5" x14ac:dyDescent="0.35">
      <c r="A49" s="192" t="s">
        <v>20</v>
      </c>
      <c r="B49" s="193">
        <v>45754</v>
      </c>
      <c r="C49" s="214">
        <v>2087</v>
      </c>
      <c r="D49" s="195">
        <v>75</v>
      </c>
      <c r="E49" s="215">
        <v>0</v>
      </c>
      <c r="F49" s="682">
        <v>1</v>
      </c>
      <c r="G49" s="247">
        <v>8</v>
      </c>
      <c r="H49" s="736" t="s">
        <v>62</v>
      </c>
      <c r="I49" s="748">
        <v>15</v>
      </c>
      <c r="K49" s="262"/>
      <c r="L49" s="262"/>
      <c r="M49" s="262"/>
      <c r="O49" s="262"/>
    </row>
    <row r="50" spans="1:15" ht="14.5" x14ac:dyDescent="0.35">
      <c r="A50" s="192" t="s">
        <v>22</v>
      </c>
      <c r="B50" s="193">
        <v>45755</v>
      </c>
      <c r="C50" s="217">
        <v>1107</v>
      </c>
      <c r="D50" s="218">
        <v>0</v>
      </c>
      <c r="E50" s="219">
        <v>0</v>
      </c>
      <c r="F50" s="677">
        <v>0</v>
      </c>
      <c r="G50" s="854">
        <v>2</v>
      </c>
      <c r="H50" s="737" t="s">
        <v>174</v>
      </c>
      <c r="I50" s="749">
        <v>10</v>
      </c>
      <c r="K50" s="262"/>
      <c r="L50" s="262"/>
      <c r="M50" s="262"/>
      <c r="O50" s="262"/>
    </row>
    <row r="51" spans="1:15" ht="14.5" x14ac:dyDescent="0.35">
      <c r="A51" s="192" t="s">
        <v>24</v>
      </c>
      <c r="B51" s="193">
        <v>45756</v>
      </c>
      <c r="C51" s="221">
        <v>918</v>
      </c>
      <c r="D51" s="222">
        <v>40</v>
      </c>
      <c r="E51" s="223">
        <v>0</v>
      </c>
      <c r="F51" s="223">
        <v>0</v>
      </c>
      <c r="G51" s="692">
        <v>0</v>
      </c>
      <c r="H51" s="738" t="s">
        <v>175</v>
      </c>
      <c r="I51" s="750">
        <v>7</v>
      </c>
      <c r="K51" s="262"/>
      <c r="L51" s="262"/>
      <c r="M51" s="262"/>
      <c r="O51" s="262"/>
    </row>
    <row r="52" spans="1:15" ht="14.5" x14ac:dyDescent="0.35">
      <c r="A52" s="192" t="s">
        <v>10</v>
      </c>
      <c r="B52" s="193">
        <v>45757</v>
      </c>
      <c r="C52" s="225">
        <v>1103</v>
      </c>
      <c r="D52" s="226">
        <v>25</v>
      </c>
      <c r="E52" s="227">
        <v>0</v>
      </c>
      <c r="F52" s="227">
        <v>0</v>
      </c>
      <c r="G52" s="693">
        <v>0</v>
      </c>
      <c r="H52" s="739" t="s">
        <v>176</v>
      </c>
      <c r="I52" s="751">
        <v>12</v>
      </c>
      <c r="K52" s="262"/>
      <c r="L52" s="262"/>
      <c r="M52" s="262"/>
      <c r="O52" s="262"/>
    </row>
    <row r="53" spans="1:15" ht="14.5" x14ac:dyDescent="0.35">
      <c r="A53" s="192" t="s">
        <v>13</v>
      </c>
      <c r="B53" s="193">
        <v>45758</v>
      </c>
      <c r="C53" s="229">
        <v>1075</v>
      </c>
      <c r="D53" s="230">
        <v>60</v>
      </c>
      <c r="E53" s="231">
        <v>0</v>
      </c>
      <c r="F53" s="231">
        <v>0</v>
      </c>
      <c r="G53" s="694">
        <v>1</v>
      </c>
      <c r="H53" s="740" t="s">
        <v>177</v>
      </c>
      <c r="I53" s="752">
        <v>4</v>
      </c>
      <c r="K53" s="262"/>
      <c r="L53" s="262"/>
      <c r="M53" s="262"/>
      <c r="O53" s="262"/>
    </row>
    <row r="54" spans="1:15" ht="14.5" x14ac:dyDescent="0.35">
      <c r="A54" s="192" t="s">
        <v>16</v>
      </c>
      <c r="B54" s="193">
        <v>45759</v>
      </c>
      <c r="C54" s="225">
        <v>2205</v>
      </c>
      <c r="D54" s="226">
        <v>205</v>
      </c>
      <c r="E54" s="227">
        <v>0</v>
      </c>
      <c r="F54" s="227">
        <v>0</v>
      </c>
      <c r="G54" s="693">
        <v>8</v>
      </c>
      <c r="H54" s="739" t="s">
        <v>178</v>
      </c>
      <c r="I54" s="751">
        <v>16</v>
      </c>
      <c r="K54" s="262"/>
      <c r="L54" s="262"/>
      <c r="M54" s="262"/>
      <c r="O54" s="262"/>
    </row>
    <row r="55" spans="1:15" ht="14.5" x14ac:dyDescent="0.35">
      <c r="A55" s="192" t="s">
        <v>18</v>
      </c>
      <c r="B55" s="193">
        <v>45760</v>
      </c>
      <c r="C55" s="233"/>
      <c r="D55" s="234"/>
      <c r="E55" s="235"/>
      <c r="F55" s="235"/>
      <c r="G55" s="481"/>
      <c r="H55" s="741"/>
      <c r="I55" s="753"/>
      <c r="K55" s="262"/>
      <c r="L55" s="262"/>
      <c r="M55" s="262"/>
      <c r="O55" s="262"/>
    </row>
    <row r="56" spans="1:15" ht="14.5" x14ac:dyDescent="0.35">
      <c r="A56" s="192" t="s">
        <v>20</v>
      </c>
      <c r="B56" s="193">
        <v>45761</v>
      </c>
      <c r="C56" s="225">
        <v>1950</v>
      </c>
      <c r="D56" s="226">
        <v>155</v>
      </c>
      <c r="E56" s="227">
        <v>0</v>
      </c>
      <c r="F56" s="227">
        <v>2</v>
      </c>
      <c r="G56" s="693">
        <v>5</v>
      </c>
      <c r="H56" s="739" t="s">
        <v>179</v>
      </c>
      <c r="I56" s="751">
        <v>14</v>
      </c>
      <c r="K56" s="262"/>
      <c r="L56" s="262"/>
      <c r="M56" s="262"/>
      <c r="O56" s="262"/>
    </row>
    <row r="57" spans="1:15" ht="14.5" x14ac:dyDescent="0.35">
      <c r="A57" s="192" t="s">
        <v>22</v>
      </c>
      <c r="B57" s="193">
        <v>45762</v>
      </c>
      <c r="C57" s="233">
        <v>1651</v>
      </c>
      <c r="D57" s="195">
        <v>120</v>
      </c>
      <c r="E57" s="215">
        <v>1</v>
      </c>
      <c r="F57" s="215">
        <v>0</v>
      </c>
      <c r="G57" s="615">
        <v>3</v>
      </c>
      <c r="H57" s="736" t="s">
        <v>180</v>
      </c>
      <c r="I57" s="748">
        <v>13</v>
      </c>
      <c r="K57" s="262"/>
      <c r="L57" s="262"/>
      <c r="M57" s="262"/>
      <c r="O57" s="262"/>
    </row>
    <row r="58" spans="1:15" ht="14.5" x14ac:dyDescent="0.35">
      <c r="A58" s="192" t="s">
        <v>24</v>
      </c>
      <c r="B58" s="193">
        <v>45763</v>
      </c>
      <c r="C58" s="209">
        <v>2365</v>
      </c>
      <c r="D58" s="213">
        <v>0</v>
      </c>
      <c r="E58" s="203">
        <v>0</v>
      </c>
      <c r="F58" s="203">
        <v>0</v>
      </c>
      <c r="G58" s="611">
        <v>0</v>
      </c>
      <c r="H58" s="734" t="s">
        <v>181</v>
      </c>
      <c r="I58" s="745">
        <v>11</v>
      </c>
      <c r="K58" s="262"/>
      <c r="L58" s="262"/>
      <c r="M58" s="262"/>
      <c r="O58" s="262"/>
    </row>
    <row r="59" spans="1:15" ht="14.5" x14ac:dyDescent="0.35">
      <c r="A59" s="192" t="s">
        <v>10</v>
      </c>
      <c r="B59" s="193">
        <v>45764</v>
      </c>
      <c r="C59" s="233">
        <v>1259</v>
      </c>
      <c r="D59" s="234">
        <v>0</v>
      </c>
      <c r="E59" s="215">
        <v>0</v>
      </c>
      <c r="F59" s="215">
        <v>0</v>
      </c>
      <c r="G59" s="615">
        <v>0</v>
      </c>
      <c r="H59" s="736" t="s">
        <v>182</v>
      </c>
      <c r="I59" s="748">
        <v>8</v>
      </c>
      <c r="K59" s="262"/>
      <c r="L59" s="262"/>
      <c r="M59" s="262"/>
      <c r="O59" s="262"/>
    </row>
    <row r="60" spans="1:15" ht="14.5" x14ac:dyDescent="0.35">
      <c r="A60" s="192" t="s">
        <v>13</v>
      </c>
      <c r="B60" s="193">
        <v>45765</v>
      </c>
      <c r="C60" s="237">
        <v>1935</v>
      </c>
      <c r="D60" s="238">
        <v>60</v>
      </c>
      <c r="E60" s="239">
        <v>0</v>
      </c>
      <c r="F60" s="239">
        <v>0</v>
      </c>
      <c r="G60" s="695">
        <v>0</v>
      </c>
      <c r="H60" s="742" t="s">
        <v>183</v>
      </c>
      <c r="I60" s="754">
        <v>8</v>
      </c>
      <c r="K60" s="262"/>
      <c r="L60" s="262"/>
      <c r="M60" s="262"/>
      <c r="O60" s="262"/>
    </row>
    <row r="61" spans="1:15" ht="14.5" x14ac:dyDescent="0.35">
      <c r="A61" s="192" t="s">
        <v>16</v>
      </c>
      <c r="B61" s="193">
        <v>45766</v>
      </c>
      <c r="C61" s="214">
        <v>1128</v>
      </c>
      <c r="D61" s="195">
        <v>160</v>
      </c>
      <c r="E61" s="215">
        <v>0</v>
      </c>
      <c r="F61" s="215">
        <v>1</v>
      </c>
      <c r="G61" s="615">
        <v>3</v>
      </c>
      <c r="H61" s="736" t="s">
        <v>184</v>
      </c>
      <c r="I61" s="748">
        <v>11</v>
      </c>
      <c r="K61" s="262"/>
      <c r="L61" s="262"/>
      <c r="M61" s="262"/>
      <c r="O61" s="262"/>
    </row>
    <row r="62" spans="1:15" ht="14.5" x14ac:dyDescent="0.35">
      <c r="A62" s="192" t="s">
        <v>18</v>
      </c>
      <c r="B62" s="193">
        <v>45767</v>
      </c>
      <c r="C62" s="237"/>
      <c r="D62" s="238"/>
      <c r="E62" s="239"/>
      <c r="F62" s="239"/>
      <c r="G62" s="695"/>
      <c r="H62" s="742"/>
      <c r="I62" s="754"/>
      <c r="K62" s="262"/>
      <c r="L62" s="262"/>
      <c r="M62" s="262"/>
      <c r="O62" s="262"/>
    </row>
    <row r="63" spans="1:15" ht="14.5" x14ac:dyDescent="0.35">
      <c r="A63" s="192" t="s">
        <v>20</v>
      </c>
      <c r="B63" s="193">
        <v>45768</v>
      </c>
      <c r="C63" s="205">
        <v>2655</v>
      </c>
      <c r="D63" s="206">
        <v>265</v>
      </c>
      <c r="E63" s="207">
        <v>0</v>
      </c>
      <c r="F63" s="207">
        <v>1</v>
      </c>
      <c r="G63" s="612">
        <v>7</v>
      </c>
      <c r="H63" s="735" t="s">
        <v>185</v>
      </c>
      <c r="I63" s="746">
        <v>14</v>
      </c>
      <c r="K63" s="262"/>
      <c r="L63" s="262"/>
      <c r="M63" s="262"/>
      <c r="O63" s="262"/>
    </row>
    <row r="64" spans="1:15" ht="14.5" x14ac:dyDescent="0.35">
      <c r="A64" s="192" t="s">
        <v>22</v>
      </c>
      <c r="B64" s="193">
        <v>45769</v>
      </c>
      <c r="C64" s="209">
        <v>1588</v>
      </c>
      <c r="D64" s="210">
        <v>85</v>
      </c>
      <c r="E64" s="211">
        <v>0</v>
      </c>
      <c r="F64" s="211">
        <v>0</v>
      </c>
      <c r="G64" s="287">
        <v>1</v>
      </c>
      <c r="H64" s="743" t="s">
        <v>185</v>
      </c>
      <c r="I64" s="747">
        <v>10</v>
      </c>
      <c r="K64" s="262"/>
      <c r="L64" s="262"/>
      <c r="M64" s="262"/>
      <c r="O64" s="262"/>
    </row>
    <row r="65" spans="1:15" ht="14.5" x14ac:dyDescent="0.35">
      <c r="A65" s="192" t="s">
        <v>24</v>
      </c>
      <c r="B65" s="193">
        <v>45770</v>
      </c>
      <c r="C65" s="233">
        <v>1270</v>
      </c>
      <c r="D65" s="234">
        <v>185</v>
      </c>
      <c r="E65" s="235">
        <v>0</v>
      </c>
      <c r="F65" s="235">
        <v>0</v>
      </c>
      <c r="G65" s="481">
        <v>0</v>
      </c>
      <c r="H65" s="741" t="s">
        <v>186</v>
      </c>
      <c r="I65" s="753">
        <v>8</v>
      </c>
      <c r="K65" s="262"/>
      <c r="L65" s="262"/>
      <c r="M65" s="262"/>
      <c r="O65" s="262"/>
    </row>
    <row r="66" spans="1:15" ht="14.5" x14ac:dyDescent="0.35">
      <c r="A66" s="192" t="s">
        <v>10</v>
      </c>
      <c r="B66" s="193">
        <v>45771</v>
      </c>
      <c r="C66" s="237">
        <v>457</v>
      </c>
      <c r="D66" s="238">
        <v>0</v>
      </c>
      <c r="E66" s="239">
        <v>0</v>
      </c>
      <c r="F66" s="239">
        <v>0</v>
      </c>
      <c r="G66" s="695">
        <v>0</v>
      </c>
      <c r="H66" s="742" t="s">
        <v>187</v>
      </c>
      <c r="I66" s="754">
        <v>6</v>
      </c>
      <c r="K66" s="262"/>
      <c r="L66" s="262"/>
      <c r="M66" s="262"/>
      <c r="O66" s="262"/>
    </row>
    <row r="67" spans="1:15" ht="14.5" x14ac:dyDescent="0.35">
      <c r="A67" s="192" t="s">
        <v>13</v>
      </c>
      <c r="B67" s="193">
        <v>45772</v>
      </c>
      <c r="C67" s="233">
        <v>532</v>
      </c>
      <c r="D67" s="234">
        <v>25</v>
      </c>
      <c r="E67" s="235">
        <v>0</v>
      </c>
      <c r="F67" s="235">
        <v>0</v>
      </c>
      <c r="G67" s="481">
        <v>0</v>
      </c>
      <c r="H67" s="741" t="s">
        <v>188</v>
      </c>
      <c r="I67" s="753">
        <v>7</v>
      </c>
      <c r="K67" s="262"/>
      <c r="L67" s="262"/>
      <c r="M67" s="262"/>
      <c r="O67" s="262"/>
    </row>
    <row r="68" spans="1:15" ht="14.5" x14ac:dyDescent="0.35">
      <c r="A68" s="192" t="s">
        <v>16</v>
      </c>
      <c r="B68" s="193">
        <v>45773</v>
      </c>
      <c r="C68" s="209">
        <v>3744</v>
      </c>
      <c r="D68" s="210">
        <v>335</v>
      </c>
      <c r="E68" s="211">
        <v>0</v>
      </c>
      <c r="F68" s="211">
        <v>1</v>
      </c>
      <c r="G68" s="287">
        <v>9</v>
      </c>
      <c r="H68" s="743" t="s">
        <v>189</v>
      </c>
      <c r="I68" s="747">
        <v>18</v>
      </c>
      <c r="K68" s="262"/>
      <c r="L68" s="262"/>
      <c r="M68" s="262"/>
      <c r="O68" s="262"/>
    </row>
    <row r="69" spans="1:15" ht="14.5" x14ac:dyDescent="0.35">
      <c r="A69" s="192" t="s">
        <v>18</v>
      </c>
      <c r="B69" s="193">
        <v>45774</v>
      </c>
      <c r="C69" s="214"/>
      <c r="D69" s="195"/>
      <c r="E69" s="215"/>
      <c r="F69" s="215"/>
      <c r="G69" s="615"/>
      <c r="H69" s="736"/>
      <c r="I69" s="748"/>
      <c r="K69" s="262"/>
      <c r="L69" s="262"/>
      <c r="M69" s="262"/>
      <c r="O69" s="262"/>
    </row>
    <row r="70" spans="1:15" ht="14.5" x14ac:dyDescent="0.35">
      <c r="A70" s="192" t="s">
        <v>20</v>
      </c>
      <c r="B70" s="193">
        <v>45775</v>
      </c>
      <c r="C70" s="212">
        <v>1879</v>
      </c>
      <c r="D70" s="213">
        <v>170</v>
      </c>
      <c r="E70" s="203">
        <v>0</v>
      </c>
      <c r="F70" s="203">
        <v>0</v>
      </c>
      <c r="G70" s="611">
        <v>3</v>
      </c>
      <c r="H70" s="734" t="s">
        <v>190</v>
      </c>
      <c r="I70" s="745">
        <v>19</v>
      </c>
      <c r="K70" s="262"/>
      <c r="L70" s="262"/>
      <c r="M70" s="262"/>
      <c r="O70" s="262"/>
    </row>
    <row r="71" spans="1:15" ht="14.5" x14ac:dyDescent="0.35">
      <c r="A71" s="192" t="s">
        <v>22</v>
      </c>
      <c r="B71" s="193">
        <v>45776</v>
      </c>
      <c r="C71" s="233">
        <v>2245</v>
      </c>
      <c r="D71" s="263">
        <v>385</v>
      </c>
      <c r="E71" s="215">
        <v>0</v>
      </c>
      <c r="F71" s="215">
        <v>0</v>
      </c>
      <c r="G71" s="615">
        <v>6</v>
      </c>
      <c r="H71" s="736" t="s">
        <v>191</v>
      </c>
      <c r="I71" s="748">
        <v>13</v>
      </c>
      <c r="K71" s="262"/>
      <c r="L71" s="262"/>
      <c r="M71" s="262"/>
      <c r="O71" s="262"/>
    </row>
    <row r="72" spans="1:15" ht="14.5" x14ac:dyDescent="0.35">
      <c r="A72" s="192" t="s">
        <v>24</v>
      </c>
      <c r="B72" s="193">
        <v>45777</v>
      </c>
      <c r="C72" s="212">
        <v>2892</v>
      </c>
      <c r="D72" s="213">
        <v>0</v>
      </c>
      <c r="E72" s="203">
        <v>0</v>
      </c>
      <c r="F72" s="203">
        <v>0</v>
      </c>
      <c r="G72" s="611">
        <v>0</v>
      </c>
      <c r="H72" s="734" t="s">
        <v>192</v>
      </c>
      <c r="I72" s="745">
        <v>14</v>
      </c>
      <c r="K72" s="262"/>
      <c r="L72" s="262"/>
      <c r="M72" s="262"/>
      <c r="O72" s="262"/>
    </row>
    <row r="73" spans="1:15" ht="14.5" x14ac:dyDescent="0.35">
      <c r="A73" s="192"/>
      <c r="B73" s="193"/>
      <c r="C73" s="264"/>
      <c r="D73" s="265"/>
      <c r="E73" s="266"/>
      <c r="F73" s="266"/>
      <c r="G73" s="696"/>
      <c r="H73" s="870" t="s">
        <v>38</v>
      </c>
      <c r="I73" s="755"/>
      <c r="K73" s="262"/>
      <c r="L73" s="262"/>
      <c r="M73" s="262"/>
      <c r="O73" s="262"/>
    </row>
    <row r="74" spans="1:15" thickBot="1" x14ac:dyDescent="0.4">
      <c r="A74" s="257"/>
      <c r="B74" s="268"/>
      <c r="C74" s="258">
        <f t="shared" ref="C74:F74" si="1">SUM(C43:C73)</f>
        <v>47466</v>
      </c>
      <c r="D74" s="259">
        <f t="shared" si="1"/>
        <v>3055</v>
      </c>
      <c r="E74" s="260">
        <f t="shared" si="1"/>
        <v>1</v>
      </c>
      <c r="F74" s="884">
        <f t="shared" si="1"/>
        <v>9</v>
      </c>
      <c r="G74" s="885">
        <f>SUM(G43:G73)</f>
        <v>68</v>
      </c>
      <c r="H74" s="886"/>
      <c r="I74" s="887"/>
      <c r="K74" s="262"/>
      <c r="L74" s="262"/>
      <c r="M74" s="262"/>
      <c r="O74" s="262"/>
    </row>
    <row r="75" spans="1:15" ht="14.5" x14ac:dyDescent="0.35">
      <c r="A75" s="262"/>
      <c r="B75" s="474"/>
      <c r="C75" s="508"/>
      <c r="D75" s="262"/>
      <c r="E75" s="475"/>
      <c r="F75" s="511"/>
      <c r="G75" s="262"/>
      <c r="H75" s="262"/>
      <c r="I75" s="262"/>
      <c r="J75" s="262"/>
      <c r="K75" s="262"/>
      <c r="L75" s="262"/>
      <c r="M75" s="262"/>
    </row>
    <row r="76" spans="1:15" ht="16.5" thickBot="1" x14ac:dyDescent="0.45">
      <c r="A76" s="262"/>
      <c r="B76" s="474"/>
      <c r="C76" s="508"/>
      <c r="D76" s="262"/>
      <c r="E76" s="508"/>
      <c r="F76" s="262"/>
      <c r="G76" s="262"/>
      <c r="H76" s="262"/>
      <c r="I76" s="262"/>
      <c r="J76" s="262"/>
      <c r="K76" s="349"/>
      <c r="L76" s="349"/>
      <c r="M76" s="262"/>
    </row>
    <row r="77" spans="1:15" ht="15.65" customHeight="1" thickBot="1" x14ac:dyDescent="0.45">
      <c r="A77" s="348"/>
      <c r="B77" s="926" t="s">
        <v>53</v>
      </c>
      <c r="C77" s="928" t="s">
        <v>0</v>
      </c>
      <c r="D77" s="298" t="s">
        <v>2</v>
      </c>
      <c r="E77" s="184" t="s">
        <v>3</v>
      </c>
      <c r="F77" s="772" t="s">
        <v>4</v>
      </c>
      <c r="G77" s="774" t="s">
        <v>143</v>
      </c>
      <c r="H77" s="186" t="s">
        <v>6</v>
      </c>
      <c r="I77" s="773" t="s">
        <v>7</v>
      </c>
      <c r="M77" s="349"/>
      <c r="O77" s="349"/>
    </row>
    <row r="78" spans="1:15" ht="33" customHeight="1" x14ac:dyDescent="0.4">
      <c r="A78" s="497"/>
      <c r="B78" s="927"/>
      <c r="C78" s="929"/>
      <c r="D78" s="299" t="s">
        <v>0</v>
      </c>
      <c r="E78" s="188" t="s">
        <v>0</v>
      </c>
      <c r="F78" s="772" t="s">
        <v>0</v>
      </c>
      <c r="G78" s="664" t="s">
        <v>0</v>
      </c>
      <c r="H78" s="665" t="s">
        <v>8</v>
      </c>
      <c r="I78" s="666" t="s">
        <v>9</v>
      </c>
      <c r="K78" s="923" t="s">
        <v>12</v>
      </c>
      <c r="L78" s="923"/>
      <c r="M78" s="262"/>
      <c r="O78" s="262"/>
    </row>
    <row r="79" spans="1:15" ht="14.5" x14ac:dyDescent="0.35">
      <c r="A79" s="192" t="s">
        <v>22</v>
      </c>
      <c r="B79" s="193">
        <v>45748</v>
      </c>
      <c r="C79" s="194">
        <v>1342</v>
      </c>
      <c r="D79" s="195">
        <v>29</v>
      </c>
      <c r="E79" s="286">
        <v>0</v>
      </c>
      <c r="F79" s="855">
        <v>0</v>
      </c>
      <c r="G79" s="728">
        <v>3</v>
      </c>
      <c r="H79" s="871" t="s">
        <v>193</v>
      </c>
      <c r="I79" s="744">
        <v>17</v>
      </c>
      <c r="K79" s="513" t="s">
        <v>15</v>
      </c>
      <c r="L79" s="409">
        <v>50000</v>
      </c>
      <c r="M79" s="262"/>
      <c r="O79" s="262"/>
    </row>
    <row r="80" spans="1:15" ht="14.5" x14ac:dyDescent="0.35">
      <c r="A80" s="192" t="s">
        <v>24</v>
      </c>
      <c r="B80" s="193">
        <v>45749</v>
      </c>
      <c r="C80" s="212">
        <v>758</v>
      </c>
      <c r="D80" s="213">
        <v>0</v>
      </c>
      <c r="E80" s="203">
        <v>0</v>
      </c>
      <c r="F80" s="203">
        <v>0</v>
      </c>
      <c r="G80" s="611">
        <v>0</v>
      </c>
      <c r="H80" s="736" t="s">
        <v>194</v>
      </c>
      <c r="I80" s="745">
        <v>9</v>
      </c>
      <c r="K80" s="504" t="s">
        <v>17</v>
      </c>
      <c r="L80" s="411">
        <v>2000</v>
      </c>
      <c r="M80" s="262"/>
      <c r="O80" s="262"/>
    </row>
    <row r="81" spans="1:15" ht="14.5" x14ac:dyDescent="0.35">
      <c r="A81" s="192" t="s">
        <v>10</v>
      </c>
      <c r="B81" s="193">
        <v>45750</v>
      </c>
      <c r="C81" s="205">
        <v>2260</v>
      </c>
      <c r="D81" s="206">
        <v>35</v>
      </c>
      <c r="E81" s="207">
        <v>0</v>
      </c>
      <c r="F81" s="207">
        <v>0</v>
      </c>
      <c r="G81" s="675">
        <v>4</v>
      </c>
      <c r="H81" s="872" t="s">
        <v>195</v>
      </c>
      <c r="I81" s="746">
        <v>19</v>
      </c>
      <c r="K81" s="515" t="s">
        <v>19</v>
      </c>
      <c r="L81" s="413">
        <v>15</v>
      </c>
      <c r="M81" s="262"/>
      <c r="O81" s="262"/>
    </row>
    <row r="82" spans="1:15" ht="14.5" x14ac:dyDescent="0.35">
      <c r="A82" s="192" t="s">
        <v>13</v>
      </c>
      <c r="B82" s="193">
        <v>45751</v>
      </c>
      <c r="C82" s="209">
        <v>2607</v>
      </c>
      <c r="D82" s="210">
        <v>87</v>
      </c>
      <c r="E82" s="211">
        <v>0</v>
      </c>
      <c r="F82" s="211">
        <v>0</v>
      </c>
      <c r="G82" s="684">
        <v>6</v>
      </c>
      <c r="H82" s="873" t="s">
        <v>196</v>
      </c>
      <c r="I82" s="747">
        <v>18</v>
      </c>
      <c r="K82" s="838"/>
      <c r="L82" s="839"/>
      <c r="M82" s="262"/>
      <c r="O82" s="262"/>
    </row>
    <row r="83" spans="1:15" ht="14.5" x14ac:dyDescent="0.35">
      <c r="A83" s="192" t="s">
        <v>16</v>
      </c>
      <c r="B83" s="193">
        <v>45752</v>
      </c>
      <c r="C83" s="205">
        <v>2650</v>
      </c>
      <c r="D83" s="206">
        <v>88</v>
      </c>
      <c r="E83" s="207">
        <v>0</v>
      </c>
      <c r="F83" s="207">
        <v>0</v>
      </c>
      <c r="G83" s="675">
        <v>1</v>
      </c>
      <c r="H83" s="872" t="s">
        <v>197</v>
      </c>
      <c r="I83" s="746">
        <v>14</v>
      </c>
      <c r="K83" s="262"/>
      <c r="L83" s="262"/>
      <c r="M83" s="262"/>
      <c r="O83" s="262"/>
    </row>
    <row r="84" spans="1:15" ht="14.5" x14ac:dyDescent="0.35">
      <c r="A84" s="192" t="s">
        <v>18</v>
      </c>
      <c r="B84" s="193">
        <v>45753</v>
      </c>
      <c r="C84" s="212"/>
      <c r="D84" s="213"/>
      <c r="E84" s="203"/>
      <c r="F84" s="203"/>
      <c r="G84" s="676"/>
      <c r="H84" s="874"/>
      <c r="I84" s="745"/>
      <c r="K84" s="262"/>
      <c r="L84" s="262"/>
      <c r="M84" s="262"/>
      <c r="O84" s="262"/>
    </row>
    <row r="85" spans="1:15" ht="14.5" x14ac:dyDescent="0.35">
      <c r="A85" s="192" t="s">
        <v>20</v>
      </c>
      <c r="B85" s="193">
        <v>45754</v>
      </c>
      <c r="C85" s="214">
        <v>3162</v>
      </c>
      <c r="D85" s="195">
        <v>58</v>
      </c>
      <c r="E85" s="215">
        <v>0</v>
      </c>
      <c r="F85" s="215">
        <v>0</v>
      </c>
      <c r="G85" s="682">
        <v>3</v>
      </c>
      <c r="H85" s="875" t="s">
        <v>198</v>
      </c>
      <c r="I85" s="748">
        <v>22</v>
      </c>
      <c r="K85" s="262"/>
      <c r="L85" s="262"/>
      <c r="M85" s="262"/>
      <c r="O85" s="262"/>
    </row>
    <row r="86" spans="1:15" ht="14.5" x14ac:dyDescent="0.35">
      <c r="A86" s="192" t="s">
        <v>22</v>
      </c>
      <c r="B86" s="193">
        <v>45755</v>
      </c>
      <c r="C86" s="217">
        <v>3422</v>
      </c>
      <c r="D86" s="218">
        <v>116</v>
      </c>
      <c r="E86" s="219">
        <v>0</v>
      </c>
      <c r="F86" s="219">
        <v>0</v>
      </c>
      <c r="G86" s="677">
        <v>3</v>
      </c>
      <c r="H86" s="876" t="s">
        <v>199</v>
      </c>
      <c r="I86" s="749">
        <v>16</v>
      </c>
      <c r="K86" s="262"/>
      <c r="L86" s="262"/>
      <c r="M86" s="262"/>
      <c r="O86" s="262"/>
    </row>
    <row r="87" spans="1:15" ht="14.5" x14ac:dyDescent="0.35">
      <c r="A87" s="192" t="s">
        <v>24</v>
      </c>
      <c r="B87" s="193">
        <v>45756</v>
      </c>
      <c r="C87" s="221">
        <v>1468</v>
      </c>
      <c r="D87" s="222">
        <v>58</v>
      </c>
      <c r="E87" s="223">
        <v>0</v>
      </c>
      <c r="F87" s="223">
        <v>0</v>
      </c>
      <c r="G87" s="678">
        <v>0</v>
      </c>
      <c r="H87" s="877" t="s">
        <v>200</v>
      </c>
      <c r="I87" s="750">
        <v>15</v>
      </c>
      <c r="K87" s="262"/>
      <c r="L87" s="262"/>
      <c r="M87" s="262"/>
      <c r="O87" s="262"/>
    </row>
    <row r="88" spans="1:15" ht="14.5" x14ac:dyDescent="0.35">
      <c r="A88" s="192" t="s">
        <v>10</v>
      </c>
      <c r="B88" s="193">
        <v>45757</v>
      </c>
      <c r="C88" s="225">
        <v>3488</v>
      </c>
      <c r="D88" s="226">
        <v>116</v>
      </c>
      <c r="E88" s="227">
        <v>0</v>
      </c>
      <c r="F88" s="227">
        <v>0</v>
      </c>
      <c r="G88" s="679">
        <v>6</v>
      </c>
      <c r="H88" s="878" t="s">
        <v>201</v>
      </c>
      <c r="I88" s="751">
        <v>15</v>
      </c>
      <c r="K88" s="262"/>
      <c r="L88" s="262"/>
      <c r="M88" s="262"/>
      <c r="O88" s="262"/>
    </row>
    <row r="89" spans="1:15" ht="14.5" x14ac:dyDescent="0.35">
      <c r="A89" s="192" t="s">
        <v>13</v>
      </c>
      <c r="B89" s="193">
        <v>45758</v>
      </c>
      <c r="C89" s="229">
        <v>1139</v>
      </c>
      <c r="D89" s="230">
        <v>0</v>
      </c>
      <c r="E89" s="231">
        <v>0</v>
      </c>
      <c r="F89" s="231">
        <v>0</v>
      </c>
      <c r="G89" s="680">
        <v>0</v>
      </c>
      <c r="H89" s="879" t="s">
        <v>202</v>
      </c>
      <c r="I89" s="752">
        <v>6</v>
      </c>
      <c r="K89" s="262"/>
      <c r="L89" s="262"/>
      <c r="M89" s="262"/>
      <c r="O89" s="262"/>
    </row>
    <row r="90" spans="1:15" ht="14.5" x14ac:dyDescent="0.35">
      <c r="A90" s="192" t="s">
        <v>16</v>
      </c>
      <c r="B90" s="193">
        <v>45759</v>
      </c>
      <c r="C90" s="225">
        <v>2059</v>
      </c>
      <c r="D90" s="226">
        <v>58</v>
      </c>
      <c r="E90" s="227">
        <v>0</v>
      </c>
      <c r="F90" s="227">
        <v>0</v>
      </c>
      <c r="G90" s="679">
        <v>2</v>
      </c>
      <c r="H90" s="878" t="s">
        <v>203</v>
      </c>
      <c r="I90" s="751">
        <v>14</v>
      </c>
      <c r="K90" s="262"/>
      <c r="L90" s="262"/>
      <c r="M90" s="262"/>
      <c r="O90" s="262"/>
    </row>
    <row r="91" spans="1:15" ht="14.5" x14ac:dyDescent="0.35">
      <c r="A91" s="192" t="s">
        <v>18</v>
      </c>
      <c r="B91" s="193">
        <v>45760</v>
      </c>
      <c r="C91" s="233"/>
      <c r="D91" s="234"/>
      <c r="E91" s="235"/>
      <c r="F91" s="235"/>
      <c r="G91" s="681"/>
      <c r="H91" s="880"/>
      <c r="I91" s="753"/>
      <c r="K91" s="262"/>
      <c r="L91" s="262"/>
      <c r="M91" s="262"/>
      <c r="O91" s="262"/>
    </row>
    <row r="92" spans="1:15" ht="14.5" x14ac:dyDescent="0.35">
      <c r="A92" s="192" t="s">
        <v>20</v>
      </c>
      <c r="B92" s="193">
        <v>45761</v>
      </c>
      <c r="C92" s="225">
        <v>3216</v>
      </c>
      <c r="D92" s="226">
        <v>58</v>
      </c>
      <c r="E92" s="227">
        <v>0</v>
      </c>
      <c r="F92" s="227">
        <v>0</v>
      </c>
      <c r="G92" s="679">
        <v>2</v>
      </c>
      <c r="H92" s="878" t="s">
        <v>204</v>
      </c>
      <c r="I92" s="751">
        <v>21</v>
      </c>
      <c r="K92" s="262"/>
      <c r="L92" s="262"/>
      <c r="M92" s="262"/>
      <c r="O92" s="262"/>
    </row>
    <row r="93" spans="1:15" ht="14.5" x14ac:dyDescent="0.35">
      <c r="A93" s="192" t="s">
        <v>22</v>
      </c>
      <c r="B93" s="193">
        <v>45762</v>
      </c>
      <c r="C93" s="233">
        <v>1334</v>
      </c>
      <c r="D93" s="195">
        <v>0</v>
      </c>
      <c r="E93" s="215">
        <v>1</v>
      </c>
      <c r="F93" s="215">
        <v>0</v>
      </c>
      <c r="G93" s="682">
        <v>3</v>
      </c>
      <c r="H93" s="875" t="s">
        <v>205</v>
      </c>
      <c r="I93" s="748">
        <v>12</v>
      </c>
      <c r="K93" s="262"/>
      <c r="L93" s="262"/>
      <c r="M93" s="262"/>
      <c r="O93" s="262"/>
    </row>
    <row r="94" spans="1:15" ht="14.5" x14ac:dyDescent="0.35">
      <c r="A94" s="192" t="s">
        <v>24</v>
      </c>
      <c r="B94" s="193">
        <v>45763</v>
      </c>
      <c r="C94" s="209">
        <v>419</v>
      </c>
      <c r="D94" s="213">
        <v>29</v>
      </c>
      <c r="E94" s="203">
        <v>0</v>
      </c>
      <c r="F94" s="203">
        <v>0</v>
      </c>
      <c r="G94" s="676">
        <v>0</v>
      </c>
      <c r="H94" s="874" t="s">
        <v>206</v>
      </c>
      <c r="I94" s="745">
        <v>7</v>
      </c>
      <c r="K94" s="262"/>
      <c r="L94" s="262"/>
      <c r="M94" s="262"/>
      <c r="O94" s="262"/>
    </row>
    <row r="95" spans="1:15" ht="14.5" x14ac:dyDescent="0.35">
      <c r="A95" s="192" t="s">
        <v>10</v>
      </c>
      <c r="B95" s="193">
        <v>45764</v>
      </c>
      <c r="C95" s="233">
        <v>1694</v>
      </c>
      <c r="D95" s="234">
        <v>29</v>
      </c>
      <c r="E95" s="215">
        <v>0</v>
      </c>
      <c r="F95" s="215">
        <v>0</v>
      </c>
      <c r="G95" s="682">
        <v>3</v>
      </c>
      <c r="H95" s="875" t="s">
        <v>207</v>
      </c>
      <c r="I95" s="748">
        <v>12</v>
      </c>
      <c r="K95" s="262"/>
      <c r="L95" s="262"/>
      <c r="M95" s="262"/>
      <c r="O95" s="262"/>
    </row>
    <row r="96" spans="1:15" ht="14.5" x14ac:dyDescent="0.35">
      <c r="A96" s="192" t="s">
        <v>13</v>
      </c>
      <c r="B96" s="193">
        <v>45765</v>
      </c>
      <c r="C96" s="237">
        <v>673</v>
      </c>
      <c r="D96" s="270">
        <v>58</v>
      </c>
      <c r="E96" s="239">
        <v>0</v>
      </c>
      <c r="F96" s="239">
        <v>0</v>
      </c>
      <c r="G96" s="683">
        <v>1</v>
      </c>
      <c r="H96" s="881" t="s">
        <v>208</v>
      </c>
      <c r="I96" s="754">
        <v>5</v>
      </c>
      <c r="K96" s="262"/>
      <c r="L96" s="262"/>
      <c r="M96" s="262"/>
      <c r="O96" s="262"/>
    </row>
    <row r="97" spans="1:15" ht="14.5" x14ac:dyDescent="0.35">
      <c r="A97" s="192" t="s">
        <v>16</v>
      </c>
      <c r="B97" s="193">
        <v>45766</v>
      </c>
      <c r="C97" s="214">
        <v>3395</v>
      </c>
      <c r="D97" s="195">
        <v>29</v>
      </c>
      <c r="E97" s="215">
        <v>1</v>
      </c>
      <c r="F97" s="215">
        <v>0</v>
      </c>
      <c r="G97" s="682">
        <v>5</v>
      </c>
      <c r="H97" s="875" t="s">
        <v>209</v>
      </c>
      <c r="I97" s="748">
        <v>22</v>
      </c>
      <c r="K97" s="262"/>
      <c r="L97" s="262"/>
      <c r="M97" s="262"/>
      <c r="O97" s="262"/>
    </row>
    <row r="98" spans="1:15" ht="14.5" x14ac:dyDescent="0.35">
      <c r="A98" s="192" t="s">
        <v>18</v>
      </c>
      <c r="B98" s="193">
        <v>45767</v>
      </c>
      <c r="C98" s="237"/>
      <c r="D98" s="238"/>
      <c r="E98" s="239"/>
      <c r="F98" s="239"/>
      <c r="G98" s="683"/>
      <c r="H98" s="881"/>
      <c r="I98" s="754"/>
      <c r="K98" s="262"/>
      <c r="L98" s="262"/>
      <c r="M98" s="262"/>
      <c r="O98" s="262"/>
    </row>
    <row r="99" spans="1:15" ht="14.5" x14ac:dyDescent="0.35">
      <c r="A99" s="192" t="s">
        <v>20</v>
      </c>
      <c r="B99" s="193">
        <v>45768</v>
      </c>
      <c r="C99" s="205">
        <v>2087</v>
      </c>
      <c r="D99" s="206">
        <v>0</v>
      </c>
      <c r="E99" s="207">
        <v>0</v>
      </c>
      <c r="F99" s="207">
        <v>0</v>
      </c>
      <c r="G99" s="675">
        <v>1</v>
      </c>
      <c r="H99" s="872" t="s">
        <v>210</v>
      </c>
      <c r="I99" s="746">
        <v>15</v>
      </c>
      <c r="K99" s="262"/>
      <c r="L99" s="262"/>
      <c r="M99" s="262"/>
      <c r="O99" s="262"/>
    </row>
    <row r="100" spans="1:15" ht="14.5" x14ac:dyDescent="0.35">
      <c r="A100" s="192" t="s">
        <v>22</v>
      </c>
      <c r="B100" s="193">
        <v>45769</v>
      </c>
      <c r="C100" s="209">
        <v>1548</v>
      </c>
      <c r="D100" s="210">
        <v>58</v>
      </c>
      <c r="E100" s="211">
        <v>0</v>
      </c>
      <c r="F100" s="211">
        <v>0</v>
      </c>
      <c r="G100" s="684">
        <v>1</v>
      </c>
      <c r="H100" s="873" t="s">
        <v>211</v>
      </c>
      <c r="I100" s="747">
        <v>10</v>
      </c>
      <c r="K100" s="262"/>
      <c r="L100" s="262"/>
      <c r="M100" s="262"/>
      <c r="O100" s="262"/>
    </row>
    <row r="101" spans="1:15" ht="14.5" x14ac:dyDescent="0.35">
      <c r="A101" s="192" t="s">
        <v>24</v>
      </c>
      <c r="B101" s="193">
        <v>45770</v>
      </c>
      <c r="C101" s="233">
        <v>2187</v>
      </c>
      <c r="D101" s="234">
        <v>0</v>
      </c>
      <c r="E101" s="235">
        <v>0</v>
      </c>
      <c r="F101" s="235">
        <v>0</v>
      </c>
      <c r="G101" s="681">
        <v>1</v>
      </c>
      <c r="H101" s="880" t="s">
        <v>212</v>
      </c>
      <c r="I101" s="753">
        <v>10</v>
      </c>
      <c r="K101" s="262"/>
      <c r="L101" s="262"/>
      <c r="M101" s="262"/>
      <c r="O101" s="262"/>
    </row>
    <row r="102" spans="1:15" ht="14.5" x14ac:dyDescent="0.35">
      <c r="A102" s="192" t="s">
        <v>10</v>
      </c>
      <c r="B102" s="193">
        <v>45771</v>
      </c>
      <c r="C102" s="237">
        <v>1253</v>
      </c>
      <c r="D102" s="238">
        <v>87</v>
      </c>
      <c r="E102" s="239">
        <v>0</v>
      </c>
      <c r="F102" s="239">
        <v>0</v>
      </c>
      <c r="G102" s="683">
        <v>1</v>
      </c>
      <c r="H102" s="881" t="s">
        <v>213</v>
      </c>
      <c r="I102" s="754">
        <v>15</v>
      </c>
      <c r="K102" s="262"/>
      <c r="L102" s="262"/>
      <c r="M102" s="262"/>
      <c r="O102" s="262"/>
    </row>
    <row r="103" spans="1:15" ht="14.5" x14ac:dyDescent="0.35">
      <c r="A103" s="192" t="s">
        <v>13</v>
      </c>
      <c r="B103" s="193">
        <v>45772</v>
      </c>
      <c r="C103" s="233">
        <v>2594</v>
      </c>
      <c r="D103" s="234">
        <v>0</v>
      </c>
      <c r="E103" s="235">
        <v>0</v>
      </c>
      <c r="F103" s="235">
        <v>0</v>
      </c>
      <c r="G103" s="681">
        <v>1</v>
      </c>
      <c r="H103" s="880" t="s">
        <v>214</v>
      </c>
      <c r="I103" s="753">
        <v>8</v>
      </c>
      <c r="K103" s="262"/>
      <c r="L103" s="262"/>
      <c r="M103" s="508"/>
      <c r="O103" s="262"/>
    </row>
    <row r="104" spans="1:15" ht="14.5" x14ac:dyDescent="0.35">
      <c r="A104" s="192" t="s">
        <v>16</v>
      </c>
      <c r="B104" s="193">
        <v>45773</v>
      </c>
      <c r="C104" s="209">
        <v>1404</v>
      </c>
      <c r="D104" s="210">
        <v>58</v>
      </c>
      <c r="E104" s="211">
        <v>0</v>
      </c>
      <c r="F104" s="211">
        <v>0</v>
      </c>
      <c r="G104" s="684">
        <v>1</v>
      </c>
      <c r="H104" s="873" t="s">
        <v>215</v>
      </c>
      <c r="I104" s="747">
        <v>10</v>
      </c>
      <c r="M104" s="508"/>
      <c r="O104" s="262"/>
    </row>
    <row r="105" spans="1:15" ht="14.5" x14ac:dyDescent="0.35">
      <c r="A105" s="192" t="s">
        <v>18</v>
      </c>
      <c r="B105" s="193">
        <v>45774</v>
      </c>
      <c r="C105" s="214"/>
      <c r="D105" s="195"/>
      <c r="E105" s="215"/>
      <c r="F105" s="215"/>
      <c r="G105" s="697"/>
      <c r="H105" s="880"/>
      <c r="I105" s="741"/>
      <c r="M105" s="262"/>
      <c r="O105" s="262"/>
    </row>
    <row r="106" spans="1:15" ht="14.5" x14ac:dyDescent="0.35">
      <c r="A106" s="192" t="s">
        <v>20</v>
      </c>
      <c r="B106" s="193">
        <v>45775</v>
      </c>
      <c r="C106" s="212">
        <v>2648</v>
      </c>
      <c r="D106" s="213">
        <v>29</v>
      </c>
      <c r="E106" s="203">
        <v>0</v>
      </c>
      <c r="F106" s="203">
        <v>0</v>
      </c>
      <c r="G106" s="676">
        <v>5</v>
      </c>
      <c r="H106" s="874" t="s">
        <v>216</v>
      </c>
      <c r="I106" s="745">
        <v>23</v>
      </c>
      <c r="M106" s="262"/>
      <c r="O106" s="262"/>
    </row>
    <row r="107" spans="1:15" ht="14.5" x14ac:dyDescent="0.35">
      <c r="A107" s="192" t="s">
        <v>22</v>
      </c>
      <c r="B107" s="193">
        <v>45776</v>
      </c>
      <c r="C107" s="233">
        <v>1649</v>
      </c>
      <c r="D107" s="195">
        <v>29</v>
      </c>
      <c r="E107" s="215">
        <v>0</v>
      </c>
      <c r="F107" s="247">
        <v>0</v>
      </c>
      <c r="G107" s="682">
        <v>5</v>
      </c>
      <c r="H107" s="875" t="s">
        <v>217</v>
      </c>
      <c r="I107" s="748">
        <v>16</v>
      </c>
      <c r="M107" s="262"/>
      <c r="O107" s="262"/>
    </row>
    <row r="108" spans="1:15" ht="14.5" x14ac:dyDescent="0.35">
      <c r="A108" s="192" t="s">
        <v>24</v>
      </c>
      <c r="B108" s="193">
        <v>45777</v>
      </c>
      <c r="C108" s="212">
        <v>849</v>
      </c>
      <c r="D108" s="213">
        <v>87</v>
      </c>
      <c r="E108" s="203">
        <v>0</v>
      </c>
      <c r="F108" s="203">
        <v>0</v>
      </c>
      <c r="G108" s="676">
        <v>3</v>
      </c>
      <c r="H108" s="874" t="s">
        <v>218</v>
      </c>
      <c r="I108" s="745">
        <v>12</v>
      </c>
      <c r="K108" s="262"/>
      <c r="L108" s="262"/>
      <c r="M108" s="262"/>
      <c r="O108" s="262"/>
    </row>
    <row r="109" spans="1:15" ht="14.5" x14ac:dyDescent="0.35">
      <c r="A109" s="192"/>
      <c r="B109" s="193"/>
      <c r="C109" s="264"/>
      <c r="D109" s="265"/>
      <c r="E109" s="266"/>
      <c r="F109" s="266"/>
      <c r="G109" s="687"/>
      <c r="H109" s="882" t="s">
        <v>54</v>
      </c>
      <c r="I109" s="755"/>
      <c r="K109" s="262"/>
      <c r="L109" s="262"/>
      <c r="M109" s="262"/>
      <c r="O109" s="262"/>
    </row>
    <row r="110" spans="1:15" thickBot="1" x14ac:dyDescent="0.4">
      <c r="A110" s="257"/>
      <c r="B110" s="268"/>
      <c r="C110" s="258">
        <f t="shared" ref="C110:F110" si="2">SUM(C79:C109)</f>
        <v>51305</v>
      </c>
      <c r="D110" s="259">
        <f t="shared" si="2"/>
        <v>1196</v>
      </c>
      <c r="E110" s="260">
        <f t="shared" si="2"/>
        <v>2</v>
      </c>
      <c r="F110" s="884">
        <f t="shared" si="2"/>
        <v>0</v>
      </c>
      <c r="G110" s="885">
        <f>SUM(G79:G109)</f>
        <v>61</v>
      </c>
      <c r="H110" s="886"/>
      <c r="I110" s="887"/>
      <c r="K110" s="262"/>
      <c r="L110" s="262"/>
      <c r="M110" s="262"/>
      <c r="O110" s="262"/>
    </row>
    <row r="111" spans="1:15" ht="16" x14ac:dyDescent="0.4">
      <c r="A111" s="262"/>
      <c r="B111" s="474"/>
      <c r="C111" s="508"/>
      <c r="D111" s="475"/>
      <c r="E111" s="511"/>
      <c r="F111" s="262"/>
      <c r="G111" s="262"/>
      <c r="H111" s="262"/>
      <c r="I111" s="262"/>
      <c r="J111" s="262"/>
      <c r="K111" s="349"/>
      <c r="L111" s="349"/>
      <c r="M111" s="262"/>
    </row>
    <row r="112" spans="1:15" ht="14.5" x14ac:dyDescent="0.35">
      <c r="A112" s="262"/>
      <c r="B112" s="474"/>
      <c r="C112" s="508"/>
      <c r="D112" s="475"/>
      <c r="E112" s="511"/>
      <c r="F112" s="262"/>
      <c r="G112" s="262"/>
      <c r="H112" s="262"/>
      <c r="I112" s="262"/>
      <c r="J112" s="262"/>
      <c r="M112" s="262"/>
    </row>
    <row r="113" spans="1:13" ht="16" x14ac:dyDescent="0.4">
      <c r="A113" s="262"/>
      <c r="B113" s="474"/>
      <c r="C113" s="508"/>
      <c r="D113" s="475"/>
      <c r="E113" s="511"/>
      <c r="F113" s="262"/>
      <c r="G113" s="262"/>
      <c r="H113" s="262"/>
      <c r="I113" s="349"/>
      <c r="J113" s="349"/>
      <c r="M113" s="262"/>
    </row>
    <row r="114" spans="1:13" ht="25" customHeight="1" thickBot="1" x14ac:dyDescent="0.4">
      <c r="A114" s="262"/>
      <c r="B114" s="474"/>
      <c r="C114" s="508"/>
      <c r="D114" s="475"/>
      <c r="E114" s="511"/>
      <c r="F114" s="262"/>
      <c r="G114" s="262"/>
      <c r="H114" s="262"/>
      <c r="I114" s="262"/>
      <c r="J114" s="262"/>
      <c r="M114" s="262"/>
    </row>
    <row r="115" spans="1:13" ht="16" customHeight="1" thickBot="1" x14ac:dyDescent="0.45">
      <c r="A115" s="2"/>
      <c r="B115" s="926" t="s">
        <v>70</v>
      </c>
      <c r="C115" s="928" t="s">
        <v>0</v>
      </c>
      <c r="D115" s="298" t="s">
        <v>2</v>
      </c>
      <c r="E115" s="771" t="s">
        <v>3</v>
      </c>
      <c r="F115" s="772" t="s">
        <v>4</v>
      </c>
      <c r="G115" s="774" t="s">
        <v>143</v>
      </c>
      <c r="H115" s="186" t="s">
        <v>6</v>
      </c>
      <c r="I115" s="773" t="s">
        <v>7</v>
      </c>
      <c r="M115" s="262"/>
    </row>
    <row r="116" spans="1:13" ht="29.15" customHeight="1" x14ac:dyDescent="0.4">
      <c r="A116" s="8"/>
      <c r="B116" s="927"/>
      <c r="C116" s="929"/>
      <c r="D116" s="299" t="s">
        <v>0</v>
      </c>
      <c r="E116" s="498" t="s">
        <v>0</v>
      </c>
      <c r="F116" s="772" t="s">
        <v>0</v>
      </c>
      <c r="G116" s="664" t="s">
        <v>0</v>
      </c>
      <c r="H116" s="710" t="s">
        <v>8</v>
      </c>
      <c r="I116" s="711" t="s">
        <v>9</v>
      </c>
      <c r="K116" s="517"/>
      <c r="L116" s="473"/>
      <c r="M116" s="262"/>
    </row>
    <row r="117" spans="1:13" ht="14.5" x14ac:dyDescent="0.35">
      <c r="A117" s="192" t="s">
        <v>22</v>
      </c>
      <c r="B117" s="193">
        <v>45748</v>
      </c>
      <c r="C117" s="194">
        <v>939</v>
      </c>
      <c r="D117" s="195">
        <v>30</v>
      </c>
      <c r="E117" s="196">
        <v>0</v>
      </c>
      <c r="F117" s="855">
        <v>1</v>
      </c>
      <c r="G117" s="727">
        <v>2</v>
      </c>
      <c r="H117" s="869" t="s">
        <v>219</v>
      </c>
      <c r="I117" s="744">
        <v>6</v>
      </c>
      <c r="K117" s="923" t="s">
        <v>12</v>
      </c>
      <c r="L117" s="923"/>
      <c r="M117" s="262"/>
    </row>
    <row r="118" spans="1:13" ht="14.5" x14ac:dyDescent="0.35">
      <c r="A118" s="192" t="s">
        <v>24</v>
      </c>
      <c r="B118" s="193">
        <v>45749</v>
      </c>
      <c r="C118" s="212">
        <v>1515</v>
      </c>
      <c r="D118" s="213">
        <v>24</v>
      </c>
      <c r="E118" s="203">
        <v>0</v>
      </c>
      <c r="F118" s="203">
        <v>1</v>
      </c>
      <c r="G118" s="611">
        <v>1</v>
      </c>
      <c r="H118" s="736" t="s">
        <v>220</v>
      </c>
      <c r="I118" s="745">
        <v>12</v>
      </c>
      <c r="K118" s="513" t="s">
        <v>15</v>
      </c>
      <c r="L118" s="409">
        <v>36000</v>
      </c>
      <c r="M118" s="262"/>
    </row>
    <row r="119" spans="1:13" ht="14.5" x14ac:dyDescent="0.35">
      <c r="A119" s="192" t="s">
        <v>10</v>
      </c>
      <c r="B119" s="193">
        <v>45750</v>
      </c>
      <c r="C119" s="205">
        <v>1919</v>
      </c>
      <c r="D119" s="206">
        <v>0</v>
      </c>
      <c r="E119" s="207">
        <v>0</v>
      </c>
      <c r="F119" s="207">
        <v>0</v>
      </c>
      <c r="G119" s="612">
        <v>1</v>
      </c>
      <c r="H119" s="735" t="s">
        <v>221</v>
      </c>
      <c r="I119" s="746">
        <v>8</v>
      </c>
      <c r="K119" s="504" t="s">
        <v>17</v>
      </c>
      <c r="L119" s="411">
        <v>1000</v>
      </c>
      <c r="M119" s="262"/>
    </row>
    <row r="120" spans="1:13" ht="14.5" x14ac:dyDescent="0.35">
      <c r="A120" s="192" t="s">
        <v>13</v>
      </c>
      <c r="B120" s="193">
        <v>45751</v>
      </c>
      <c r="C120" s="209">
        <v>525</v>
      </c>
      <c r="D120" s="210">
        <v>30</v>
      </c>
      <c r="E120" s="211">
        <v>0</v>
      </c>
      <c r="F120" s="211">
        <v>0</v>
      </c>
      <c r="G120" s="287">
        <v>1</v>
      </c>
      <c r="H120" s="743" t="s">
        <v>222</v>
      </c>
      <c r="I120" s="747">
        <v>7</v>
      </c>
      <c r="K120" s="515" t="s">
        <v>19</v>
      </c>
      <c r="L120" s="413">
        <v>15</v>
      </c>
      <c r="M120" s="262"/>
    </row>
    <row r="121" spans="1:13" ht="14.5" x14ac:dyDescent="0.35">
      <c r="A121" s="192" t="s">
        <v>16</v>
      </c>
      <c r="B121" s="193">
        <v>45752</v>
      </c>
      <c r="C121" s="205">
        <v>1731</v>
      </c>
      <c r="D121" s="206">
        <v>30</v>
      </c>
      <c r="E121" s="207">
        <v>0</v>
      </c>
      <c r="F121" s="207">
        <v>0</v>
      </c>
      <c r="G121" s="612">
        <v>0</v>
      </c>
      <c r="H121" s="735" t="s">
        <v>223</v>
      </c>
      <c r="I121" s="746">
        <v>17</v>
      </c>
      <c r="K121" s="838"/>
      <c r="L121" s="839"/>
      <c r="M121" s="262"/>
    </row>
    <row r="122" spans="1:13" ht="14.5" x14ac:dyDescent="0.35">
      <c r="A122" s="192" t="s">
        <v>18</v>
      </c>
      <c r="B122" s="193">
        <v>45753</v>
      </c>
      <c r="C122" s="212"/>
      <c r="D122" s="213"/>
      <c r="E122" s="203"/>
      <c r="F122" s="203"/>
      <c r="G122" s="611"/>
      <c r="H122" s="734"/>
      <c r="I122" s="745"/>
      <c r="K122" s="517"/>
      <c r="L122" s="473"/>
      <c r="M122" s="262"/>
    </row>
    <row r="123" spans="1:13" ht="14.5" x14ac:dyDescent="0.35">
      <c r="A123" s="192" t="s">
        <v>20</v>
      </c>
      <c r="B123" s="193">
        <v>45754</v>
      </c>
      <c r="C123" s="214">
        <v>2408</v>
      </c>
      <c r="D123" s="195">
        <v>25</v>
      </c>
      <c r="E123" s="215">
        <v>0</v>
      </c>
      <c r="F123" s="215">
        <v>0</v>
      </c>
      <c r="G123" s="615">
        <v>3</v>
      </c>
      <c r="H123" s="736" t="s">
        <v>224</v>
      </c>
      <c r="I123" s="748">
        <v>20</v>
      </c>
      <c r="K123" s="517"/>
      <c r="L123" s="473"/>
      <c r="M123" s="262"/>
    </row>
    <row r="124" spans="1:13" ht="14.5" x14ac:dyDescent="0.35">
      <c r="A124" s="192" t="s">
        <v>22</v>
      </c>
      <c r="B124" s="193">
        <v>45755</v>
      </c>
      <c r="C124" s="217">
        <v>764</v>
      </c>
      <c r="D124" s="218">
        <v>0</v>
      </c>
      <c r="E124" s="219">
        <v>0</v>
      </c>
      <c r="F124" s="219">
        <v>0</v>
      </c>
      <c r="G124" s="691">
        <v>2</v>
      </c>
      <c r="H124" s="737" t="s">
        <v>225</v>
      </c>
      <c r="I124" s="749">
        <v>9</v>
      </c>
      <c r="K124" s="517"/>
      <c r="L124" s="473"/>
      <c r="M124" s="262"/>
    </row>
    <row r="125" spans="1:13" ht="14.5" x14ac:dyDescent="0.35">
      <c r="A125" s="192" t="s">
        <v>24</v>
      </c>
      <c r="B125" s="193">
        <v>45756</v>
      </c>
      <c r="C125" s="221">
        <v>753</v>
      </c>
      <c r="D125" s="222">
        <v>0</v>
      </c>
      <c r="E125" s="223">
        <v>0</v>
      </c>
      <c r="F125" s="223">
        <v>0</v>
      </c>
      <c r="G125" s="692">
        <v>0</v>
      </c>
      <c r="H125" s="738" t="s">
        <v>226</v>
      </c>
      <c r="I125" s="750">
        <v>7</v>
      </c>
      <c r="K125" s="517"/>
      <c r="L125" s="473"/>
      <c r="M125" s="262"/>
    </row>
    <row r="126" spans="1:13" ht="14.5" x14ac:dyDescent="0.35">
      <c r="A126" s="192" t="s">
        <v>10</v>
      </c>
      <c r="B126" s="193">
        <v>45757</v>
      </c>
      <c r="C126" s="225">
        <v>824</v>
      </c>
      <c r="D126" s="226">
        <v>0</v>
      </c>
      <c r="E126" s="227">
        <v>0</v>
      </c>
      <c r="F126" s="227">
        <v>0</v>
      </c>
      <c r="G126" s="693">
        <v>1</v>
      </c>
      <c r="H126" s="739" t="s">
        <v>227</v>
      </c>
      <c r="I126" s="751">
        <v>7</v>
      </c>
      <c r="K126" s="517"/>
      <c r="L126" s="473"/>
      <c r="M126" s="262"/>
    </row>
    <row r="127" spans="1:13" ht="14.5" x14ac:dyDescent="0.35">
      <c r="A127" s="192" t="s">
        <v>13</v>
      </c>
      <c r="B127" s="193">
        <v>45758</v>
      </c>
      <c r="C127" s="229">
        <v>880</v>
      </c>
      <c r="D127" s="230">
        <v>0</v>
      </c>
      <c r="E127" s="231">
        <v>0</v>
      </c>
      <c r="F127" s="231">
        <v>0</v>
      </c>
      <c r="G127" s="694">
        <v>1</v>
      </c>
      <c r="H127" s="740" t="s">
        <v>228</v>
      </c>
      <c r="I127" s="752">
        <v>5</v>
      </c>
      <c r="K127" s="517"/>
      <c r="L127" s="473"/>
      <c r="M127" s="262"/>
    </row>
    <row r="128" spans="1:13" ht="14.5" x14ac:dyDescent="0.35">
      <c r="A128" s="192" t="s">
        <v>16</v>
      </c>
      <c r="B128" s="193">
        <v>45759</v>
      </c>
      <c r="C128" s="225">
        <v>775</v>
      </c>
      <c r="D128" s="226">
        <v>25</v>
      </c>
      <c r="E128" s="227">
        <v>0</v>
      </c>
      <c r="F128" s="227">
        <v>1</v>
      </c>
      <c r="G128" s="693">
        <v>0</v>
      </c>
      <c r="H128" s="739" t="s">
        <v>229</v>
      </c>
      <c r="I128" s="751">
        <v>5</v>
      </c>
      <c r="K128" s="262"/>
      <c r="L128" s="262"/>
      <c r="M128" s="262"/>
    </row>
    <row r="129" spans="1:13" ht="14.5" x14ac:dyDescent="0.35">
      <c r="A129" s="192" t="s">
        <v>18</v>
      </c>
      <c r="B129" s="193">
        <v>45760</v>
      </c>
      <c r="C129" s="233"/>
      <c r="D129" s="234"/>
      <c r="E129" s="235"/>
      <c r="F129" s="235"/>
      <c r="G129" s="481"/>
      <c r="H129" s="741"/>
      <c r="I129" s="753"/>
      <c r="K129" s="262"/>
      <c r="L129" s="262"/>
      <c r="M129" s="262"/>
    </row>
    <row r="130" spans="1:13" ht="14.5" x14ac:dyDescent="0.35">
      <c r="A130" s="192" t="s">
        <v>20</v>
      </c>
      <c r="B130" s="193">
        <v>45761</v>
      </c>
      <c r="C130" s="225">
        <v>1192</v>
      </c>
      <c r="D130" s="226">
        <v>120</v>
      </c>
      <c r="E130" s="227">
        <v>0</v>
      </c>
      <c r="F130" s="227">
        <v>0</v>
      </c>
      <c r="G130" s="693">
        <v>2</v>
      </c>
      <c r="H130" s="739" t="s">
        <v>230</v>
      </c>
      <c r="I130" s="751">
        <v>9</v>
      </c>
      <c r="K130" s="262"/>
      <c r="L130" s="262"/>
      <c r="M130" s="262"/>
    </row>
    <row r="131" spans="1:13" ht="14.5" x14ac:dyDescent="0.35">
      <c r="A131" s="192" t="s">
        <v>22</v>
      </c>
      <c r="B131" s="193">
        <v>45762</v>
      </c>
      <c r="C131" s="233">
        <v>2425</v>
      </c>
      <c r="D131" s="195">
        <v>0</v>
      </c>
      <c r="E131" s="215">
        <v>0</v>
      </c>
      <c r="F131" s="215">
        <v>0</v>
      </c>
      <c r="G131" s="615">
        <v>5</v>
      </c>
      <c r="H131" s="736" t="s">
        <v>231</v>
      </c>
      <c r="I131" s="748">
        <v>20</v>
      </c>
      <c r="K131" s="262"/>
      <c r="L131" s="262"/>
      <c r="M131" s="262"/>
    </row>
    <row r="132" spans="1:13" ht="14.5" x14ac:dyDescent="0.35">
      <c r="A132" s="192" t="s">
        <v>24</v>
      </c>
      <c r="B132" s="193">
        <v>45763</v>
      </c>
      <c r="C132" s="209">
        <v>693</v>
      </c>
      <c r="D132" s="213">
        <v>0</v>
      </c>
      <c r="E132" s="203">
        <v>0</v>
      </c>
      <c r="F132" s="203">
        <v>1</v>
      </c>
      <c r="G132" s="611">
        <v>0</v>
      </c>
      <c r="H132" s="734" t="s">
        <v>232</v>
      </c>
      <c r="I132" s="745">
        <v>8</v>
      </c>
      <c r="K132" s="262"/>
      <c r="L132" s="262"/>
      <c r="M132" s="262"/>
    </row>
    <row r="133" spans="1:13" ht="14.5" x14ac:dyDescent="0.35">
      <c r="A133" s="192" t="s">
        <v>10</v>
      </c>
      <c r="B133" s="193">
        <v>45764</v>
      </c>
      <c r="C133" s="233">
        <v>1479</v>
      </c>
      <c r="D133" s="234">
        <v>25</v>
      </c>
      <c r="E133" s="215">
        <v>0</v>
      </c>
      <c r="F133" s="215">
        <v>0</v>
      </c>
      <c r="G133" s="615">
        <v>1</v>
      </c>
      <c r="H133" s="736" t="s">
        <v>233</v>
      </c>
      <c r="I133" s="748">
        <v>10</v>
      </c>
      <c r="K133" s="262"/>
      <c r="L133" s="262"/>
      <c r="M133" s="262"/>
    </row>
    <row r="134" spans="1:13" ht="14.5" x14ac:dyDescent="0.35">
      <c r="A134" s="192" t="s">
        <v>13</v>
      </c>
      <c r="B134" s="193">
        <v>45765</v>
      </c>
      <c r="C134" s="237">
        <v>1228</v>
      </c>
      <c r="D134" s="270">
        <v>25</v>
      </c>
      <c r="E134" s="239">
        <v>0</v>
      </c>
      <c r="F134" s="239">
        <v>2</v>
      </c>
      <c r="G134" s="695">
        <v>1</v>
      </c>
      <c r="H134" s="742" t="s">
        <v>234</v>
      </c>
      <c r="I134" s="754">
        <v>17</v>
      </c>
      <c r="K134" s="262"/>
      <c r="L134" s="262"/>
      <c r="M134" s="262"/>
    </row>
    <row r="135" spans="1:13" ht="14.5" x14ac:dyDescent="0.35">
      <c r="A135" s="192" t="s">
        <v>16</v>
      </c>
      <c r="B135" s="193">
        <v>45766</v>
      </c>
      <c r="C135" s="214">
        <v>1902</v>
      </c>
      <c r="D135" s="195">
        <v>30</v>
      </c>
      <c r="E135" s="215">
        <v>0</v>
      </c>
      <c r="F135" s="215">
        <v>0</v>
      </c>
      <c r="G135" s="615">
        <v>2</v>
      </c>
      <c r="H135" s="736" t="s">
        <v>235</v>
      </c>
      <c r="I135" s="748">
        <v>12</v>
      </c>
      <c r="K135" s="262"/>
      <c r="L135" s="262"/>
      <c r="M135" s="262"/>
    </row>
    <row r="136" spans="1:13" ht="14.5" x14ac:dyDescent="0.35">
      <c r="A136" s="192" t="s">
        <v>18</v>
      </c>
      <c r="B136" s="193">
        <v>45767</v>
      </c>
      <c r="C136" s="237"/>
      <c r="D136" s="238"/>
      <c r="E136" s="239"/>
      <c r="F136" s="239"/>
      <c r="G136" s="695"/>
      <c r="H136" s="742"/>
      <c r="I136" s="754"/>
      <c r="K136" s="262"/>
      <c r="L136" s="262"/>
      <c r="M136" s="262"/>
    </row>
    <row r="137" spans="1:13" ht="14.5" x14ac:dyDescent="0.35">
      <c r="A137" s="192" t="s">
        <v>20</v>
      </c>
      <c r="B137" s="193">
        <v>45768</v>
      </c>
      <c r="C137" s="205">
        <v>1522</v>
      </c>
      <c r="D137" s="206">
        <v>30</v>
      </c>
      <c r="E137" s="207">
        <v>0</v>
      </c>
      <c r="F137" s="207">
        <v>0</v>
      </c>
      <c r="G137" s="612">
        <v>3</v>
      </c>
      <c r="H137" s="735" t="s">
        <v>236</v>
      </c>
      <c r="I137" s="746">
        <v>9</v>
      </c>
      <c r="K137" s="262"/>
      <c r="L137" s="262"/>
      <c r="M137" s="262"/>
    </row>
    <row r="138" spans="1:13" ht="14.5" x14ac:dyDescent="0.35">
      <c r="A138" s="192" t="s">
        <v>22</v>
      </c>
      <c r="B138" s="193">
        <v>45769</v>
      </c>
      <c r="C138" s="209">
        <v>2253</v>
      </c>
      <c r="D138" s="210">
        <v>25</v>
      </c>
      <c r="E138" s="211">
        <v>0</v>
      </c>
      <c r="F138" s="211">
        <v>0</v>
      </c>
      <c r="G138" s="287">
        <v>0</v>
      </c>
      <c r="H138" s="743" t="s">
        <v>237</v>
      </c>
      <c r="I138" s="747">
        <v>15</v>
      </c>
      <c r="K138" s="262"/>
      <c r="L138" s="262"/>
      <c r="M138" s="262"/>
    </row>
    <row r="139" spans="1:13" ht="14.5" x14ac:dyDescent="0.35">
      <c r="A139" s="192" t="s">
        <v>24</v>
      </c>
      <c r="B139" s="193">
        <v>45770</v>
      </c>
      <c r="C139" s="233">
        <v>1121</v>
      </c>
      <c r="D139" s="234">
        <v>25</v>
      </c>
      <c r="E139" s="235">
        <v>0</v>
      </c>
      <c r="F139" s="235">
        <v>0</v>
      </c>
      <c r="G139" s="481">
        <v>1</v>
      </c>
      <c r="H139" s="741" t="s">
        <v>238</v>
      </c>
      <c r="I139" s="753">
        <v>6</v>
      </c>
      <c r="K139" s="262"/>
      <c r="L139" s="262"/>
      <c r="M139" s="262"/>
    </row>
    <row r="140" spans="1:13" ht="14.5" x14ac:dyDescent="0.35">
      <c r="A140" s="192" t="s">
        <v>10</v>
      </c>
      <c r="B140" s="193">
        <v>45771</v>
      </c>
      <c r="C140" s="237">
        <v>241</v>
      </c>
      <c r="D140" s="238">
        <v>0</v>
      </c>
      <c r="E140" s="239">
        <v>0</v>
      </c>
      <c r="F140" s="239">
        <v>0</v>
      </c>
      <c r="G140" s="695">
        <v>0</v>
      </c>
      <c r="H140" s="742" t="s">
        <v>239</v>
      </c>
      <c r="I140" s="754">
        <v>2</v>
      </c>
      <c r="K140" s="262"/>
      <c r="L140" s="262"/>
      <c r="M140" s="262"/>
    </row>
    <row r="141" spans="1:13" ht="14.5" x14ac:dyDescent="0.35">
      <c r="A141" s="192" t="s">
        <v>13</v>
      </c>
      <c r="B141" s="193">
        <v>45772</v>
      </c>
      <c r="C141" s="233">
        <v>2582</v>
      </c>
      <c r="D141" s="234">
        <v>25</v>
      </c>
      <c r="E141" s="235">
        <v>0</v>
      </c>
      <c r="F141" s="235">
        <v>0</v>
      </c>
      <c r="G141" s="481">
        <v>2</v>
      </c>
      <c r="H141" s="741" t="s">
        <v>240</v>
      </c>
      <c r="I141" s="753">
        <v>6</v>
      </c>
      <c r="K141" s="262"/>
      <c r="L141" s="262"/>
      <c r="M141" s="262"/>
    </row>
    <row r="142" spans="1:13" ht="14.5" x14ac:dyDescent="0.35">
      <c r="A142" s="192" t="s">
        <v>16</v>
      </c>
      <c r="B142" s="193">
        <v>45773</v>
      </c>
      <c r="C142" s="209">
        <v>1419</v>
      </c>
      <c r="D142" s="210">
        <v>29</v>
      </c>
      <c r="E142" s="211">
        <v>0</v>
      </c>
      <c r="F142" s="211">
        <v>0</v>
      </c>
      <c r="G142" s="287">
        <v>1</v>
      </c>
      <c r="H142" s="743" t="s">
        <v>241</v>
      </c>
      <c r="I142" s="747">
        <v>12</v>
      </c>
      <c r="K142" s="262"/>
      <c r="L142" s="262"/>
      <c r="M142" s="262"/>
    </row>
    <row r="143" spans="1:13" ht="14.5" x14ac:dyDescent="0.35">
      <c r="A143" s="192" t="s">
        <v>18</v>
      </c>
      <c r="B143" s="193">
        <v>45774</v>
      </c>
      <c r="C143" s="214"/>
      <c r="D143" s="195"/>
      <c r="E143" s="215"/>
      <c r="F143" s="215"/>
      <c r="G143" s="262"/>
      <c r="H143" s="741"/>
      <c r="I143" s="756"/>
      <c r="K143" s="262"/>
      <c r="L143" s="262"/>
      <c r="M143" s="262"/>
    </row>
    <row r="144" spans="1:13" ht="14.5" x14ac:dyDescent="0.35">
      <c r="A144" s="192" t="s">
        <v>20</v>
      </c>
      <c r="B144" s="193">
        <v>45775</v>
      </c>
      <c r="C144" s="212">
        <v>842</v>
      </c>
      <c r="D144" s="213">
        <v>0</v>
      </c>
      <c r="E144" s="203">
        <v>0</v>
      </c>
      <c r="F144" s="203">
        <v>0</v>
      </c>
      <c r="G144" s="611">
        <v>1</v>
      </c>
      <c r="H144" s="734" t="s">
        <v>242</v>
      </c>
      <c r="I144" s="745">
        <v>9</v>
      </c>
      <c r="K144" s="262"/>
      <c r="L144" s="262"/>
      <c r="M144" s="262"/>
    </row>
    <row r="145" spans="1:20" ht="14.5" x14ac:dyDescent="0.35">
      <c r="A145" s="192" t="s">
        <v>22</v>
      </c>
      <c r="B145" s="193">
        <v>45776</v>
      </c>
      <c r="C145" s="233">
        <v>2224</v>
      </c>
      <c r="D145" s="195">
        <v>50</v>
      </c>
      <c r="E145" s="215">
        <v>0</v>
      </c>
      <c r="F145" s="247">
        <v>0</v>
      </c>
      <c r="G145" s="615">
        <v>1</v>
      </c>
      <c r="H145" s="736" t="s">
        <v>243</v>
      </c>
      <c r="I145" s="748">
        <v>8</v>
      </c>
      <c r="K145" s="262"/>
      <c r="L145" s="262"/>
      <c r="M145" s="262"/>
    </row>
    <row r="146" spans="1:20" ht="14.5" x14ac:dyDescent="0.35">
      <c r="A146" s="192" t="s">
        <v>24</v>
      </c>
      <c r="B146" s="193">
        <v>45777</v>
      </c>
      <c r="C146" s="212">
        <v>48</v>
      </c>
      <c r="D146" s="213">
        <v>0</v>
      </c>
      <c r="E146" s="203">
        <v>0</v>
      </c>
      <c r="F146" s="203">
        <v>0</v>
      </c>
      <c r="G146" s="611">
        <v>1</v>
      </c>
      <c r="H146" s="734" t="s">
        <v>244</v>
      </c>
      <c r="I146" s="745">
        <v>6</v>
      </c>
      <c r="K146" s="262"/>
      <c r="L146" s="262"/>
      <c r="M146" s="262"/>
    </row>
    <row r="147" spans="1:20" ht="14.5" x14ac:dyDescent="0.35">
      <c r="A147" s="192"/>
      <c r="B147" s="193"/>
      <c r="C147" s="264"/>
      <c r="D147" s="265"/>
      <c r="E147" s="266"/>
      <c r="F147" s="266"/>
      <c r="G147" s="696"/>
      <c r="H147" s="870" t="s">
        <v>71</v>
      </c>
      <c r="I147" s="755"/>
      <c r="K147" s="262"/>
      <c r="L147" s="262"/>
      <c r="M147" s="262"/>
    </row>
    <row r="148" spans="1:20" thickBot="1" x14ac:dyDescent="0.4">
      <c r="A148" s="257"/>
      <c r="B148" s="268"/>
      <c r="C148" s="258">
        <f t="shared" ref="C148:F148" si="3">SUM(C117:C147)</f>
        <v>34204</v>
      </c>
      <c r="D148" s="259">
        <f t="shared" si="3"/>
        <v>548</v>
      </c>
      <c r="E148" s="260">
        <f t="shared" si="3"/>
        <v>0</v>
      </c>
      <c r="F148" s="884">
        <f t="shared" si="3"/>
        <v>6</v>
      </c>
      <c r="G148" s="885">
        <f>SUM(G117:G147)</f>
        <v>33</v>
      </c>
      <c r="H148" s="886"/>
      <c r="I148" s="887"/>
      <c r="K148" s="262"/>
      <c r="L148" s="262"/>
      <c r="M148" s="262"/>
    </row>
    <row r="149" spans="1:20" ht="14.5" x14ac:dyDescent="0.35">
      <c r="A149" s="262"/>
      <c r="B149" s="474"/>
      <c r="C149" s="475"/>
      <c r="D149" s="475"/>
      <c r="E149" s="476"/>
      <c r="F149" s="476"/>
      <c r="G149" s="477"/>
      <c r="H149" s="477"/>
      <c r="I149" s="262"/>
      <c r="J149" s="262"/>
      <c r="K149" s="262"/>
      <c r="L149" s="262"/>
      <c r="M149" s="262"/>
    </row>
    <row r="150" spans="1:20" ht="14.5" x14ac:dyDescent="0.35">
      <c r="A150" s="262"/>
      <c r="B150" s="474"/>
      <c r="C150" s="475"/>
      <c r="D150" s="475"/>
      <c r="E150" s="477"/>
      <c r="F150" s="477"/>
      <c r="G150" s="477"/>
      <c r="H150" s="477"/>
      <c r="I150" s="262"/>
      <c r="J150" s="262"/>
      <c r="K150" s="262"/>
      <c r="L150" s="262"/>
      <c r="M150" s="262"/>
    </row>
    <row r="151" spans="1:20" thickBot="1" x14ac:dyDescent="0.4">
      <c r="A151" s="262"/>
      <c r="B151" s="474"/>
      <c r="C151" s="475"/>
      <c r="D151" s="475"/>
      <c r="E151" s="477"/>
      <c r="F151" s="477"/>
      <c r="G151" s="477"/>
      <c r="H151" s="477"/>
      <c r="I151" s="262"/>
      <c r="J151" s="262"/>
      <c r="K151" s="262"/>
      <c r="L151" s="262"/>
      <c r="M151" s="262"/>
    </row>
    <row r="152" spans="1:20" thickBot="1" x14ac:dyDescent="0.4">
      <c r="A152" s="924" t="s">
        <v>85</v>
      </c>
      <c r="B152" s="924"/>
      <c r="C152" s="919" t="s">
        <v>1</v>
      </c>
      <c r="D152" s="919"/>
      <c r="E152" s="919"/>
      <c r="F152" s="908"/>
      <c r="G152" s="857"/>
      <c r="H152" s="924" t="s">
        <v>85</v>
      </c>
      <c r="I152" s="924"/>
      <c r="J152" s="919" t="s">
        <v>86</v>
      </c>
      <c r="K152" s="919"/>
      <c r="L152" s="919"/>
      <c r="M152" s="909"/>
      <c r="O152" s="924" t="s">
        <v>85</v>
      </c>
      <c r="P152" s="924"/>
      <c r="Q152" s="919" t="s">
        <v>87</v>
      </c>
      <c r="R152" s="919"/>
      <c r="S152" s="919"/>
      <c r="T152" s="909"/>
    </row>
    <row r="153" spans="1:20" thickBot="1" x14ac:dyDescent="0.4">
      <c r="A153" s="924"/>
      <c r="B153" s="924"/>
      <c r="C153" s="920"/>
      <c r="D153" s="920"/>
      <c r="E153" s="920"/>
      <c r="F153" s="907"/>
      <c r="G153" s="262"/>
      <c r="H153" s="924"/>
      <c r="I153" s="924"/>
      <c r="J153" s="920"/>
      <c r="K153" s="920"/>
      <c r="L153" s="920"/>
      <c r="M153" s="907"/>
      <c r="O153" s="924"/>
      <c r="P153" s="924"/>
      <c r="Q153" s="920"/>
      <c r="R153" s="920"/>
      <c r="S153" s="920"/>
      <c r="T153" s="907"/>
    </row>
    <row r="154" spans="1:20" ht="14.5" customHeight="1" thickBot="1" x14ac:dyDescent="0.45">
      <c r="A154" s="924"/>
      <c r="B154" s="924"/>
      <c r="C154" s="921" t="s">
        <v>88</v>
      </c>
      <c r="D154" s="272" t="s">
        <v>89</v>
      </c>
      <c r="E154" s="905" t="s">
        <v>90</v>
      </c>
      <c r="F154" s="903" t="s">
        <v>91</v>
      </c>
      <c r="G154" s="262"/>
      <c r="H154" s="924"/>
      <c r="I154" s="924"/>
      <c r="J154" s="921" t="s">
        <v>88</v>
      </c>
      <c r="K154" s="272" t="s">
        <v>89</v>
      </c>
      <c r="L154" s="273" t="s">
        <v>90</v>
      </c>
      <c r="M154" s="903" t="s">
        <v>91</v>
      </c>
      <c r="O154" s="924"/>
      <c r="P154" s="924"/>
      <c r="Q154" s="921" t="s">
        <v>88</v>
      </c>
      <c r="R154" s="272" t="s">
        <v>89</v>
      </c>
      <c r="S154" s="273" t="s">
        <v>90</v>
      </c>
      <c r="T154" s="903" t="s">
        <v>91</v>
      </c>
    </row>
    <row r="155" spans="1:20" ht="15" customHeight="1" x14ac:dyDescent="0.35">
      <c r="A155" s="925"/>
      <c r="B155" s="925"/>
      <c r="C155" s="922"/>
      <c r="D155" s="840" t="s">
        <v>7</v>
      </c>
      <c r="E155" s="906" t="s">
        <v>0</v>
      </c>
      <c r="F155" s="904" t="s">
        <v>0</v>
      </c>
      <c r="G155" s="262"/>
      <c r="H155" s="925"/>
      <c r="I155" s="925"/>
      <c r="J155" s="922"/>
      <c r="K155" s="840" t="s">
        <v>7</v>
      </c>
      <c r="L155" s="841" t="s">
        <v>0</v>
      </c>
      <c r="M155" s="904" t="s">
        <v>0</v>
      </c>
      <c r="O155" s="925"/>
      <c r="P155" s="925"/>
      <c r="Q155" s="922"/>
      <c r="R155" s="840" t="s">
        <v>7</v>
      </c>
      <c r="S155" s="841" t="s">
        <v>0</v>
      </c>
      <c r="T155" s="904" t="s">
        <v>0</v>
      </c>
    </row>
    <row r="156" spans="1:20" ht="16" customHeight="1" x14ac:dyDescent="0.35">
      <c r="A156" s="192" t="s">
        <v>22</v>
      </c>
      <c r="B156" s="193">
        <v>45748</v>
      </c>
      <c r="C156" s="285">
        <v>203</v>
      </c>
      <c r="D156" s="262">
        <v>8</v>
      </c>
      <c r="E156" s="682">
        <v>0</v>
      </c>
      <c r="F156" s="616">
        <v>0</v>
      </c>
      <c r="G156" s="262"/>
      <c r="H156" s="192" t="s">
        <v>22</v>
      </c>
      <c r="I156" s="193">
        <v>45748</v>
      </c>
      <c r="J156" s="285">
        <v>610</v>
      </c>
      <c r="K156" s="262">
        <v>4</v>
      </c>
      <c r="L156" s="682">
        <v>0</v>
      </c>
      <c r="M156" s="616">
        <v>0</v>
      </c>
      <c r="O156" s="192" t="s">
        <v>22</v>
      </c>
      <c r="P156" s="193">
        <v>45748</v>
      </c>
      <c r="Q156" s="285">
        <v>852</v>
      </c>
      <c r="R156" s="262">
        <v>7</v>
      </c>
      <c r="S156" s="682">
        <v>0</v>
      </c>
      <c r="T156" s="616">
        <v>0</v>
      </c>
    </row>
    <row r="157" spans="1:20" ht="14.5" customHeight="1" x14ac:dyDescent="0.35">
      <c r="A157" s="192" t="s">
        <v>24</v>
      </c>
      <c r="B157" s="193">
        <v>45749</v>
      </c>
      <c r="C157" s="280">
        <v>2706</v>
      </c>
      <c r="D157" s="197">
        <v>8</v>
      </c>
      <c r="E157" s="675">
        <v>0</v>
      </c>
      <c r="F157" s="613">
        <v>0</v>
      </c>
      <c r="G157" s="262"/>
      <c r="H157" s="192" t="s">
        <v>24</v>
      </c>
      <c r="I157" s="193">
        <v>45749</v>
      </c>
      <c r="J157" s="280">
        <v>575</v>
      </c>
      <c r="K157" s="197">
        <v>7</v>
      </c>
      <c r="L157" s="675">
        <v>0</v>
      </c>
      <c r="M157" s="613">
        <v>0</v>
      </c>
      <c r="O157" s="192" t="s">
        <v>24</v>
      </c>
      <c r="P157" s="193">
        <v>45749</v>
      </c>
      <c r="Q157" s="280">
        <v>1119</v>
      </c>
      <c r="R157" s="197">
        <v>4</v>
      </c>
      <c r="S157" s="675">
        <v>0</v>
      </c>
      <c r="T157" s="613">
        <v>0</v>
      </c>
    </row>
    <row r="158" spans="1:20" ht="14.5" x14ac:dyDescent="0.35">
      <c r="A158" s="192" t="s">
        <v>10</v>
      </c>
      <c r="B158" s="193">
        <v>45750</v>
      </c>
      <c r="C158" s="479">
        <v>405</v>
      </c>
      <c r="D158" s="262">
        <v>11</v>
      </c>
      <c r="E158" s="681">
        <v>0</v>
      </c>
      <c r="F158" s="713">
        <v>0</v>
      </c>
      <c r="G158" s="262"/>
      <c r="H158" s="192" t="s">
        <v>10</v>
      </c>
      <c r="I158" s="193">
        <v>45750</v>
      </c>
      <c r="J158" s="479">
        <v>1120</v>
      </c>
      <c r="K158" s="262">
        <v>6</v>
      </c>
      <c r="L158" s="681">
        <v>0</v>
      </c>
      <c r="M158" s="713">
        <v>0</v>
      </c>
      <c r="O158" s="192" t="s">
        <v>10</v>
      </c>
      <c r="P158" s="193">
        <v>45750</v>
      </c>
      <c r="Q158" s="479">
        <v>940</v>
      </c>
      <c r="R158" s="262">
        <v>7</v>
      </c>
      <c r="S158" s="681">
        <v>1</v>
      </c>
      <c r="T158" s="713">
        <v>0</v>
      </c>
    </row>
    <row r="159" spans="1:20" ht="14.5" x14ac:dyDescent="0.35">
      <c r="A159" s="192" t="s">
        <v>13</v>
      </c>
      <c r="B159" s="193">
        <v>45751</v>
      </c>
      <c r="C159" s="280">
        <v>1141</v>
      </c>
      <c r="D159" s="197">
        <v>18</v>
      </c>
      <c r="E159" s="675">
        <v>0</v>
      </c>
      <c r="F159" s="613">
        <v>0</v>
      </c>
      <c r="G159" s="262"/>
      <c r="H159" s="192" t="s">
        <v>13</v>
      </c>
      <c r="I159" s="193">
        <v>45751</v>
      </c>
      <c r="J159" s="280">
        <v>222</v>
      </c>
      <c r="K159" s="197">
        <v>4</v>
      </c>
      <c r="L159" s="675">
        <v>0</v>
      </c>
      <c r="M159" s="613">
        <v>0</v>
      </c>
      <c r="O159" s="192" t="s">
        <v>13</v>
      </c>
      <c r="P159" s="193">
        <v>45751</v>
      </c>
      <c r="Q159" s="280">
        <v>530</v>
      </c>
      <c r="R159" s="197">
        <v>6</v>
      </c>
      <c r="S159" s="675">
        <v>0</v>
      </c>
      <c r="T159" s="613">
        <v>0</v>
      </c>
    </row>
    <row r="160" spans="1:20" ht="14.5" x14ac:dyDescent="0.35">
      <c r="A160" s="192" t="s">
        <v>16</v>
      </c>
      <c r="B160" s="193">
        <v>45752</v>
      </c>
      <c r="C160" s="283">
        <v>173</v>
      </c>
      <c r="D160" s="262">
        <v>8</v>
      </c>
      <c r="E160" s="682">
        <v>0</v>
      </c>
      <c r="F160" s="616">
        <v>0</v>
      </c>
      <c r="G160" s="262"/>
      <c r="H160" s="192" t="s">
        <v>16</v>
      </c>
      <c r="I160" s="193">
        <v>45752</v>
      </c>
      <c r="J160" s="283">
        <v>1038</v>
      </c>
      <c r="K160" s="262">
        <v>4</v>
      </c>
      <c r="L160" s="682">
        <v>0</v>
      </c>
      <c r="M160" s="616">
        <v>0</v>
      </c>
      <c r="O160" s="192" t="s">
        <v>16</v>
      </c>
      <c r="P160" s="193">
        <v>45752</v>
      </c>
      <c r="Q160" s="283">
        <v>575</v>
      </c>
      <c r="R160" s="262">
        <v>5</v>
      </c>
      <c r="S160" s="682">
        <v>0</v>
      </c>
      <c r="T160" s="616">
        <v>0</v>
      </c>
    </row>
    <row r="161" spans="1:20" ht="14.5" x14ac:dyDescent="0.35">
      <c r="A161" s="192" t="s">
        <v>18</v>
      </c>
      <c r="B161" s="193">
        <v>45753</v>
      </c>
      <c r="C161" s="283"/>
      <c r="D161" s="197"/>
      <c r="E161" s="682"/>
      <c r="F161" s="616"/>
      <c r="G161" s="262"/>
      <c r="H161" s="192" t="s">
        <v>18</v>
      </c>
      <c r="I161" s="193">
        <v>45753</v>
      </c>
      <c r="J161" s="283"/>
      <c r="K161" s="197"/>
      <c r="L161" s="682"/>
      <c r="M161" s="616"/>
      <c r="O161" s="192" t="s">
        <v>18</v>
      </c>
      <c r="P161" s="193">
        <v>45753</v>
      </c>
      <c r="Q161" s="283"/>
      <c r="R161" s="197"/>
      <c r="S161" s="682"/>
      <c r="T161" s="616"/>
    </row>
    <row r="162" spans="1:20" ht="14.5" x14ac:dyDescent="0.35">
      <c r="A162" s="192" t="s">
        <v>20</v>
      </c>
      <c r="B162" s="193">
        <v>45754</v>
      </c>
      <c r="C162" s="480">
        <v>2722</v>
      </c>
      <c r="D162" s="262">
        <v>8</v>
      </c>
      <c r="E162" s="680">
        <v>0</v>
      </c>
      <c r="F162" s="714">
        <v>0</v>
      </c>
      <c r="G162" s="262"/>
      <c r="H162" s="192" t="s">
        <v>20</v>
      </c>
      <c r="I162" s="193">
        <v>45754</v>
      </c>
      <c r="J162" s="480">
        <v>0</v>
      </c>
      <c r="K162" s="262">
        <v>0</v>
      </c>
      <c r="L162" s="680">
        <v>0</v>
      </c>
      <c r="M162" s="714">
        <v>0</v>
      </c>
      <c r="O162" s="192" t="s">
        <v>20</v>
      </c>
      <c r="P162" s="193">
        <v>45754</v>
      </c>
      <c r="Q162" s="480">
        <v>0</v>
      </c>
      <c r="R162" s="262">
        <v>0</v>
      </c>
      <c r="S162" s="680">
        <v>0</v>
      </c>
      <c r="T162" s="714">
        <v>0</v>
      </c>
    </row>
    <row r="163" spans="1:20" ht="14.5" x14ac:dyDescent="0.35">
      <c r="A163" s="192" t="s">
        <v>22</v>
      </c>
      <c r="B163" s="193">
        <v>45755</v>
      </c>
      <c r="C163" s="285">
        <v>2477</v>
      </c>
      <c r="D163" s="197">
        <v>6</v>
      </c>
      <c r="E163" s="678">
        <v>0</v>
      </c>
      <c r="F163" s="715">
        <v>0</v>
      </c>
      <c r="G163" s="262"/>
      <c r="H163" s="192" t="s">
        <v>22</v>
      </c>
      <c r="I163" s="193">
        <v>45755</v>
      </c>
      <c r="J163" s="285">
        <v>547</v>
      </c>
      <c r="K163" s="197">
        <v>6</v>
      </c>
      <c r="L163" s="678">
        <v>1</v>
      </c>
      <c r="M163" s="715">
        <v>0</v>
      </c>
      <c r="O163" s="192" t="s">
        <v>22</v>
      </c>
      <c r="P163" s="193">
        <v>45755</v>
      </c>
      <c r="Q163" s="285">
        <v>1409</v>
      </c>
      <c r="R163" s="197">
        <v>8</v>
      </c>
      <c r="S163" s="678">
        <v>1</v>
      </c>
      <c r="T163" s="715">
        <v>1</v>
      </c>
    </row>
    <row r="164" spans="1:20" ht="14.5" x14ac:dyDescent="0.35">
      <c r="A164" s="192" t="s">
        <v>24</v>
      </c>
      <c r="B164" s="193">
        <v>45756</v>
      </c>
      <c r="C164" s="285">
        <v>1164</v>
      </c>
      <c r="D164" s="262">
        <v>13</v>
      </c>
      <c r="E164" s="678">
        <v>1</v>
      </c>
      <c r="F164" s="715">
        <v>0</v>
      </c>
      <c r="G164" s="262"/>
      <c r="H164" s="192" t="s">
        <v>24</v>
      </c>
      <c r="I164" s="193">
        <v>45756</v>
      </c>
      <c r="J164" s="285">
        <v>1874</v>
      </c>
      <c r="K164" s="262">
        <v>6</v>
      </c>
      <c r="L164" s="678">
        <v>0</v>
      </c>
      <c r="M164" s="715">
        <v>0</v>
      </c>
      <c r="O164" s="192" t="s">
        <v>24</v>
      </c>
      <c r="P164" s="193">
        <v>45756</v>
      </c>
      <c r="Q164" s="285">
        <v>200</v>
      </c>
      <c r="R164" s="262">
        <v>2</v>
      </c>
      <c r="S164" s="678">
        <v>0</v>
      </c>
      <c r="T164" s="715">
        <v>1</v>
      </c>
    </row>
    <row r="165" spans="1:20" ht="14.5" x14ac:dyDescent="0.35">
      <c r="A165" s="192" t="s">
        <v>10</v>
      </c>
      <c r="B165" s="193">
        <v>45757</v>
      </c>
      <c r="C165" s="285">
        <v>1737</v>
      </c>
      <c r="D165" s="197">
        <v>12</v>
      </c>
      <c r="E165" s="680">
        <v>0</v>
      </c>
      <c r="F165" s="714">
        <v>0</v>
      </c>
      <c r="G165" s="262"/>
      <c r="H165" s="192" t="s">
        <v>10</v>
      </c>
      <c r="I165" s="193">
        <v>45757</v>
      </c>
      <c r="J165" s="285">
        <v>1196</v>
      </c>
      <c r="K165" s="197">
        <v>6</v>
      </c>
      <c r="L165" s="680">
        <v>0</v>
      </c>
      <c r="M165" s="714">
        <v>3</v>
      </c>
      <c r="O165" s="192" t="s">
        <v>10</v>
      </c>
      <c r="P165" s="193">
        <v>45757</v>
      </c>
      <c r="Q165" s="285">
        <v>922</v>
      </c>
      <c r="R165" s="197">
        <v>6</v>
      </c>
      <c r="S165" s="680">
        <v>0</v>
      </c>
      <c r="T165" s="714">
        <v>0</v>
      </c>
    </row>
    <row r="166" spans="1:20" ht="14.5" x14ac:dyDescent="0.35">
      <c r="A166" s="192" t="s">
        <v>13</v>
      </c>
      <c r="B166" s="193">
        <v>45758</v>
      </c>
      <c r="C166" s="285">
        <v>781</v>
      </c>
      <c r="D166" s="262">
        <v>7</v>
      </c>
      <c r="E166" s="678">
        <v>1</v>
      </c>
      <c r="F166" s="715">
        <v>0</v>
      </c>
      <c r="G166" s="262"/>
      <c r="H166" s="192" t="s">
        <v>13</v>
      </c>
      <c r="I166" s="193">
        <v>45758</v>
      </c>
      <c r="J166" s="285">
        <v>823</v>
      </c>
      <c r="K166" s="262">
        <v>4</v>
      </c>
      <c r="L166" s="678">
        <v>0</v>
      </c>
      <c r="M166" s="715">
        <v>0</v>
      </c>
      <c r="O166" s="192" t="s">
        <v>13</v>
      </c>
      <c r="P166" s="193">
        <v>45758</v>
      </c>
      <c r="Q166" s="285">
        <v>399</v>
      </c>
      <c r="R166" s="262">
        <v>6</v>
      </c>
      <c r="S166" s="678">
        <v>0</v>
      </c>
      <c r="T166" s="715">
        <v>0</v>
      </c>
    </row>
    <row r="167" spans="1:20" ht="14.5" customHeight="1" x14ac:dyDescent="0.35">
      <c r="A167" s="192" t="s">
        <v>16</v>
      </c>
      <c r="B167" s="193">
        <v>45759</v>
      </c>
      <c r="C167" s="285">
        <v>173</v>
      </c>
      <c r="D167" s="197">
        <v>8</v>
      </c>
      <c r="E167" s="678">
        <v>0</v>
      </c>
      <c r="F167" s="713">
        <v>0</v>
      </c>
      <c r="G167" s="262"/>
      <c r="H167" s="192" t="s">
        <v>16</v>
      </c>
      <c r="I167" s="193">
        <v>45759</v>
      </c>
      <c r="J167" s="285">
        <v>622</v>
      </c>
      <c r="K167" s="197">
        <v>5</v>
      </c>
      <c r="L167" s="678">
        <v>0</v>
      </c>
      <c r="M167" s="713">
        <v>0</v>
      </c>
      <c r="O167" s="192" t="s">
        <v>16</v>
      </c>
      <c r="P167" s="193">
        <v>45759</v>
      </c>
      <c r="Q167" s="285">
        <v>1151</v>
      </c>
      <c r="R167" s="197">
        <v>7</v>
      </c>
      <c r="S167" s="678">
        <v>0</v>
      </c>
      <c r="T167" s="713">
        <v>4</v>
      </c>
    </row>
    <row r="168" spans="1:20" ht="15" customHeight="1" x14ac:dyDescent="0.35">
      <c r="A168" s="192" t="s">
        <v>18</v>
      </c>
      <c r="B168" s="193">
        <v>45760</v>
      </c>
      <c r="C168" s="285"/>
      <c r="D168" s="262"/>
      <c r="E168" s="678"/>
      <c r="F168" s="715"/>
      <c r="G168" s="262"/>
      <c r="H168" s="192" t="s">
        <v>18</v>
      </c>
      <c r="I168" s="193">
        <v>45760</v>
      </c>
      <c r="J168" s="285"/>
      <c r="K168" s="262"/>
      <c r="L168" s="678"/>
      <c r="M168" s="715"/>
      <c r="O168" s="192" t="s">
        <v>18</v>
      </c>
      <c r="P168" s="193">
        <v>45760</v>
      </c>
      <c r="Q168" s="285"/>
      <c r="R168" s="262"/>
      <c r="S168" s="678"/>
      <c r="T168" s="715"/>
    </row>
    <row r="169" spans="1:20" ht="16" customHeight="1" x14ac:dyDescent="0.35">
      <c r="A169" s="192" t="s">
        <v>20</v>
      </c>
      <c r="B169" s="193">
        <v>45761</v>
      </c>
      <c r="C169" s="285">
        <v>3697</v>
      </c>
      <c r="D169" s="197">
        <v>8</v>
      </c>
      <c r="E169" s="681">
        <v>0</v>
      </c>
      <c r="F169" s="713">
        <v>1</v>
      </c>
      <c r="G169" s="262"/>
      <c r="H169" s="192" t="s">
        <v>20</v>
      </c>
      <c r="I169" s="193">
        <v>45761</v>
      </c>
      <c r="J169" s="285">
        <v>0</v>
      </c>
      <c r="K169" s="197">
        <v>0</v>
      </c>
      <c r="L169" s="681">
        <v>0</v>
      </c>
      <c r="M169" s="713">
        <v>0</v>
      </c>
      <c r="O169" s="192" t="s">
        <v>20</v>
      </c>
      <c r="P169" s="193">
        <v>45761</v>
      </c>
      <c r="Q169" s="285">
        <v>0</v>
      </c>
      <c r="R169" s="197">
        <v>0</v>
      </c>
      <c r="S169" s="681">
        <v>0</v>
      </c>
      <c r="T169" s="713">
        <v>0</v>
      </c>
    </row>
    <row r="170" spans="1:20" ht="14.5" customHeight="1" x14ac:dyDescent="0.35">
      <c r="A170" s="192" t="s">
        <v>22</v>
      </c>
      <c r="B170" s="193">
        <v>45762</v>
      </c>
      <c r="C170" s="285">
        <v>3641</v>
      </c>
      <c r="D170" s="262">
        <v>14</v>
      </c>
      <c r="E170" s="682">
        <v>1</v>
      </c>
      <c r="F170" s="616">
        <v>0</v>
      </c>
      <c r="G170" s="262"/>
      <c r="H170" s="192" t="s">
        <v>22</v>
      </c>
      <c r="I170" s="193">
        <v>45762</v>
      </c>
      <c r="J170" s="285">
        <v>1222</v>
      </c>
      <c r="K170" s="262">
        <v>5</v>
      </c>
      <c r="L170" s="682">
        <v>0</v>
      </c>
      <c r="M170" s="616">
        <v>2</v>
      </c>
      <c r="O170" s="192" t="s">
        <v>22</v>
      </c>
      <c r="P170" s="193">
        <v>45762</v>
      </c>
      <c r="Q170" s="285">
        <v>1316</v>
      </c>
      <c r="R170" s="262">
        <v>7</v>
      </c>
      <c r="S170" s="682">
        <v>0</v>
      </c>
      <c r="T170" s="616">
        <v>0</v>
      </c>
    </row>
    <row r="171" spans="1:20" ht="14.5" x14ac:dyDescent="0.35">
      <c r="A171" s="192" t="s">
        <v>24</v>
      </c>
      <c r="B171" s="193">
        <v>45763</v>
      </c>
      <c r="C171" s="285">
        <v>796</v>
      </c>
      <c r="D171" s="286">
        <v>15</v>
      </c>
      <c r="E171" s="681">
        <v>1</v>
      </c>
      <c r="F171" s="713">
        <v>2</v>
      </c>
      <c r="G171" s="262"/>
      <c r="H171" s="192" t="s">
        <v>24</v>
      </c>
      <c r="I171" s="193">
        <v>45763</v>
      </c>
      <c r="J171" s="285">
        <v>1363</v>
      </c>
      <c r="K171" s="286">
        <v>6</v>
      </c>
      <c r="L171" s="681">
        <v>0</v>
      </c>
      <c r="M171" s="713">
        <v>1</v>
      </c>
      <c r="O171" s="192" t="s">
        <v>24</v>
      </c>
      <c r="P171" s="193">
        <v>45763</v>
      </c>
      <c r="Q171" s="285">
        <v>120</v>
      </c>
      <c r="R171" s="286">
        <v>1</v>
      </c>
      <c r="S171" s="681">
        <v>0</v>
      </c>
      <c r="T171" s="713">
        <v>1</v>
      </c>
    </row>
    <row r="172" spans="1:20" ht="14.5" x14ac:dyDescent="0.35">
      <c r="A172" s="192" t="s">
        <v>10</v>
      </c>
      <c r="B172" s="193">
        <v>45764</v>
      </c>
      <c r="C172" s="285">
        <v>4503</v>
      </c>
      <c r="D172" s="481">
        <v>15</v>
      </c>
      <c r="E172" s="675">
        <v>0</v>
      </c>
      <c r="F172" s="613">
        <v>0</v>
      </c>
      <c r="G172" s="262"/>
      <c r="H172" s="192" t="s">
        <v>10</v>
      </c>
      <c r="I172" s="193">
        <v>45764</v>
      </c>
      <c r="J172" s="285">
        <v>1317</v>
      </c>
      <c r="K172" s="481">
        <v>4</v>
      </c>
      <c r="L172" s="675">
        <v>0</v>
      </c>
      <c r="M172" s="613">
        <v>0</v>
      </c>
      <c r="O172" s="192" t="s">
        <v>10</v>
      </c>
      <c r="P172" s="193">
        <v>45764</v>
      </c>
      <c r="Q172" s="285">
        <v>875</v>
      </c>
      <c r="R172" s="481">
        <v>5</v>
      </c>
      <c r="S172" s="675">
        <v>0</v>
      </c>
      <c r="T172" s="613">
        <v>1</v>
      </c>
    </row>
    <row r="173" spans="1:20" ht="14.5" x14ac:dyDescent="0.35">
      <c r="A173" s="192" t="s">
        <v>13</v>
      </c>
      <c r="B173" s="193">
        <v>45765</v>
      </c>
      <c r="C173" s="285">
        <v>743</v>
      </c>
      <c r="D173" s="288">
        <v>12</v>
      </c>
      <c r="E173" s="682">
        <v>0</v>
      </c>
      <c r="F173" s="616">
        <v>0</v>
      </c>
      <c r="G173" s="262"/>
      <c r="H173" s="192" t="s">
        <v>13</v>
      </c>
      <c r="I173" s="193">
        <v>45765</v>
      </c>
      <c r="J173" s="285">
        <v>667</v>
      </c>
      <c r="K173" s="288">
        <v>3</v>
      </c>
      <c r="L173" s="682">
        <v>0</v>
      </c>
      <c r="M173" s="616">
        <v>1</v>
      </c>
      <c r="O173" s="192" t="s">
        <v>13</v>
      </c>
      <c r="P173" s="193">
        <v>45765</v>
      </c>
      <c r="Q173" s="285">
        <v>950</v>
      </c>
      <c r="R173" s="288">
        <v>5</v>
      </c>
      <c r="S173" s="682">
        <v>1</v>
      </c>
      <c r="T173" s="616">
        <v>0</v>
      </c>
    </row>
    <row r="174" spans="1:20" ht="15.65" customHeight="1" x14ac:dyDescent="0.35">
      <c r="A174" s="192" t="s">
        <v>16</v>
      </c>
      <c r="B174" s="193">
        <v>45766</v>
      </c>
      <c r="C174" s="285">
        <v>2660</v>
      </c>
      <c r="D174" s="481">
        <v>10</v>
      </c>
      <c r="E174" s="675">
        <v>0</v>
      </c>
      <c r="F174" s="613">
        <v>1</v>
      </c>
      <c r="G174" s="262"/>
      <c r="H174" s="192" t="s">
        <v>16</v>
      </c>
      <c r="I174" s="193">
        <v>45766</v>
      </c>
      <c r="J174" s="285">
        <v>778</v>
      </c>
      <c r="K174" s="481">
        <v>3</v>
      </c>
      <c r="L174" s="675">
        <v>0</v>
      </c>
      <c r="M174" s="613">
        <v>0</v>
      </c>
      <c r="O174" s="192" t="s">
        <v>16</v>
      </c>
      <c r="P174" s="193">
        <v>45766</v>
      </c>
      <c r="Q174" s="285">
        <v>2208</v>
      </c>
      <c r="R174" s="481">
        <v>7</v>
      </c>
      <c r="S174" s="675">
        <v>0</v>
      </c>
      <c r="T174" s="613">
        <v>3</v>
      </c>
    </row>
    <row r="175" spans="1:20" ht="14.5" x14ac:dyDescent="0.35">
      <c r="A175" s="192" t="s">
        <v>18</v>
      </c>
      <c r="B175" s="193">
        <v>45767</v>
      </c>
      <c r="C175" s="285"/>
      <c r="D175" s="286"/>
      <c r="E175" s="675"/>
      <c r="F175" s="613"/>
      <c r="G175" s="262"/>
      <c r="H175" s="192" t="s">
        <v>18</v>
      </c>
      <c r="I175" s="193">
        <v>45767</v>
      </c>
      <c r="J175" s="285"/>
      <c r="K175" s="286"/>
      <c r="L175" s="675"/>
      <c r="M175" s="613"/>
      <c r="O175" s="192" t="s">
        <v>18</v>
      </c>
      <c r="P175" s="193">
        <v>45767</v>
      </c>
      <c r="Q175" s="285"/>
      <c r="R175" s="286"/>
      <c r="S175" s="675"/>
      <c r="T175" s="613"/>
    </row>
    <row r="176" spans="1:20" ht="14.5" x14ac:dyDescent="0.35">
      <c r="A176" s="192" t="s">
        <v>20</v>
      </c>
      <c r="B176" s="193">
        <v>45768</v>
      </c>
      <c r="C176" s="285">
        <v>4622</v>
      </c>
      <c r="D176" s="481">
        <v>8</v>
      </c>
      <c r="E176" s="681">
        <v>0</v>
      </c>
      <c r="F176" s="713">
        <v>0</v>
      </c>
      <c r="G176" s="262"/>
      <c r="H176" s="192" t="s">
        <v>20</v>
      </c>
      <c r="I176" s="193">
        <v>45768</v>
      </c>
      <c r="J176" s="285">
        <v>0</v>
      </c>
      <c r="K176" s="481">
        <v>0</v>
      </c>
      <c r="L176" s="681">
        <v>0</v>
      </c>
      <c r="M176" s="713">
        <v>0</v>
      </c>
      <c r="O176" s="192" t="s">
        <v>20</v>
      </c>
      <c r="P176" s="193">
        <v>45768</v>
      </c>
      <c r="Q176" s="285">
        <v>0</v>
      </c>
      <c r="R176" s="481">
        <v>0</v>
      </c>
      <c r="S176" s="681">
        <v>0</v>
      </c>
      <c r="T176" s="713">
        <v>0</v>
      </c>
    </row>
    <row r="177" spans="1:20" ht="14.5" x14ac:dyDescent="0.35">
      <c r="A177" s="192" t="s">
        <v>22</v>
      </c>
      <c r="B177" s="193">
        <v>45769</v>
      </c>
      <c r="C177" s="285">
        <v>1983</v>
      </c>
      <c r="D177" s="286">
        <v>11</v>
      </c>
      <c r="E177" s="681">
        <v>0</v>
      </c>
      <c r="F177" s="713">
        <v>0</v>
      </c>
      <c r="G177" s="262"/>
      <c r="H177" s="192" t="s">
        <v>22</v>
      </c>
      <c r="I177" s="193">
        <v>45769</v>
      </c>
      <c r="J177" s="285">
        <v>1150</v>
      </c>
      <c r="K177" s="286">
        <v>6</v>
      </c>
      <c r="L177" s="681">
        <v>0</v>
      </c>
      <c r="M177" s="713">
        <v>1</v>
      </c>
      <c r="O177" s="192" t="s">
        <v>22</v>
      </c>
      <c r="P177" s="193">
        <v>45769</v>
      </c>
      <c r="Q177" s="285">
        <v>2799</v>
      </c>
      <c r="R177" s="286">
        <v>7</v>
      </c>
      <c r="S177" s="681">
        <v>0</v>
      </c>
      <c r="T177" s="713">
        <v>2</v>
      </c>
    </row>
    <row r="178" spans="1:20" ht="14.5" x14ac:dyDescent="0.35">
      <c r="A178" s="192" t="s">
        <v>24</v>
      </c>
      <c r="B178" s="193">
        <v>45770</v>
      </c>
      <c r="C178" s="285">
        <v>466</v>
      </c>
      <c r="D178" s="481">
        <v>16</v>
      </c>
      <c r="E178" s="675">
        <v>0</v>
      </c>
      <c r="F178" s="613">
        <v>1</v>
      </c>
      <c r="G178" s="262"/>
      <c r="H178" s="192" t="s">
        <v>24</v>
      </c>
      <c r="I178" s="193">
        <v>45770</v>
      </c>
      <c r="J178" s="285">
        <v>420</v>
      </c>
      <c r="K178" s="481">
        <v>4</v>
      </c>
      <c r="L178" s="675">
        <v>0</v>
      </c>
      <c r="M178" s="613">
        <v>0</v>
      </c>
      <c r="O178" s="192" t="s">
        <v>24</v>
      </c>
      <c r="P178" s="193">
        <v>45770</v>
      </c>
      <c r="Q178" s="285">
        <v>917</v>
      </c>
      <c r="R178" s="481">
        <v>8</v>
      </c>
      <c r="S178" s="675">
        <v>0</v>
      </c>
      <c r="T178" s="613">
        <v>0</v>
      </c>
    </row>
    <row r="179" spans="1:20" ht="14.5" x14ac:dyDescent="0.35">
      <c r="A179" s="192" t="s">
        <v>10</v>
      </c>
      <c r="B179" s="193">
        <v>45771</v>
      </c>
      <c r="C179" s="285">
        <v>903</v>
      </c>
      <c r="D179" s="286">
        <v>17</v>
      </c>
      <c r="E179" s="681">
        <v>2</v>
      </c>
      <c r="F179" s="713">
        <v>0</v>
      </c>
      <c r="G179" s="262"/>
      <c r="H179" s="192" t="s">
        <v>10</v>
      </c>
      <c r="I179" s="193">
        <v>45771</v>
      </c>
      <c r="J179" s="285">
        <v>1310</v>
      </c>
      <c r="K179" s="286">
        <v>6</v>
      </c>
      <c r="L179" s="681">
        <v>1</v>
      </c>
      <c r="M179" s="713">
        <v>0</v>
      </c>
      <c r="O179" s="192" t="s">
        <v>10</v>
      </c>
      <c r="P179" s="193">
        <v>45771</v>
      </c>
      <c r="Q179" s="285">
        <v>1207</v>
      </c>
      <c r="R179" s="286">
        <v>7</v>
      </c>
      <c r="S179" s="681">
        <v>1</v>
      </c>
      <c r="T179" s="713">
        <v>0</v>
      </c>
    </row>
    <row r="180" spans="1:20" ht="14.5" x14ac:dyDescent="0.35">
      <c r="A180" s="192" t="s">
        <v>13</v>
      </c>
      <c r="B180" s="193">
        <v>45772</v>
      </c>
      <c r="C180" s="482">
        <v>146</v>
      </c>
      <c r="D180" s="481">
        <v>10</v>
      </c>
      <c r="E180" s="681">
        <v>0</v>
      </c>
      <c r="F180" s="713">
        <v>1</v>
      </c>
      <c r="G180" s="262"/>
      <c r="H180" s="192" t="s">
        <v>13</v>
      </c>
      <c r="I180" s="193">
        <v>45772</v>
      </c>
      <c r="J180" s="482">
        <v>772</v>
      </c>
      <c r="K180" s="481">
        <v>5</v>
      </c>
      <c r="L180" s="681">
        <v>0</v>
      </c>
      <c r="M180" s="713">
        <v>0</v>
      </c>
      <c r="O180" s="192" t="s">
        <v>13</v>
      </c>
      <c r="P180" s="193">
        <v>45772</v>
      </c>
      <c r="Q180" s="482">
        <v>665</v>
      </c>
      <c r="R180" s="481">
        <v>6</v>
      </c>
      <c r="S180" s="681">
        <v>0</v>
      </c>
      <c r="T180" s="713">
        <v>0</v>
      </c>
    </row>
    <row r="181" spans="1:20" ht="14.5" x14ac:dyDescent="0.35">
      <c r="A181" s="192" t="s">
        <v>16</v>
      </c>
      <c r="B181" s="193">
        <v>45773</v>
      </c>
      <c r="C181" s="290">
        <v>6118</v>
      </c>
      <c r="D181" s="286">
        <v>13</v>
      </c>
      <c r="E181" s="682">
        <v>1</v>
      </c>
      <c r="F181" s="616">
        <v>1</v>
      </c>
      <c r="G181" s="262"/>
      <c r="H181" s="192" t="s">
        <v>16</v>
      </c>
      <c r="I181" s="193">
        <v>45773</v>
      </c>
      <c r="J181" s="290">
        <v>0</v>
      </c>
      <c r="K181" s="286">
        <v>4</v>
      </c>
      <c r="L181" s="682">
        <v>0</v>
      </c>
      <c r="M181" s="616">
        <v>0</v>
      </c>
      <c r="O181" s="192" t="s">
        <v>16</v>
      </c>
      <c r="P181" s="193">
        <v>45773</v>
      </c>
      <c r="Q181" s="290">
        <v>852</v>
      </c>
      <c r="R181" s="286">
        <v>7</v>
      </c>
      <c r="S181" s="682"/>
      <c r="T181" s="616"/>
    </row>
    <row r="182" spans="1:20" ht="14.5" x14ac:dyDescent="0.35">
      <c r="A182" s="192" t="s">
        <v>18</v>
      </c>
      <c r="B182" s="193">
        <v>45774</v>
      </c>
      <c r="C182" s="290"/>
      <c r="D182" s="481"/>
      <c r="E182" s="682"/>
      <c r="F182" s="616"/>
      <c r="G182" s="262"/>
      <c r="H182" s="192" t="s">
        <v>18</v>
      </c>
      <c r="I182" s="193">
        <v>45774</v>
      </c>
      <c r="J182" s="290"/>
      <c r="K182" s="481"/>
      <c r="L182" s="682"/>
      <c r="M182" s="616"/>
      <c r="O182" s="192" t="s">
        <v>18</v>
      </c>
      <c r="P182" s="193">
        <v>45774</v>
      </c>
      <c r="Q182" s="290"/>
      <c r="R182" s="481"/>
      <c r="S182" s="682"/>
      <c r="T182" s="616"/>
    </row>
    <row r="183" spans="1:20" ht="14.5" x14ac:dyDescent="0.35">
      <c r="A183" s="192" t="s">
        <v>20</v>
      </c>
      <c r="B183" s="193">
        <v>45775</v>
      </c>
      <c r="C183" s="290">
        <v>3840</v>
      </c>
      <c r="D183" s="286">
        <v>11</v>
      </c>
      <c r="E183" s="682">
        <v>0</v>
      </c>
      <c r="F183" s="616">
        <v>1</v>
      </c>
      <c r="G183" s="262"/>
      <c r="H183" s="192" t="s">
        <v>20</v>
      </c>
      <c r="I183" s="193">
        <v>45775</v>
      </c>
      <c r="J183" s="290">
        <v>0</v>
      </c>
      <c r="K183" s="286">
        <v>0</v>
      </c>
      <c r="L183" s="682">
        <v>0</v>
      </c>
      <c r="M183" s="616">
        <v>0</v>
      </c>
      <c r="O183" s="192" t="s">
        <v>20</v>
      </c>
      <c r="P183" s="193">
        <v>45775</v>
      </c>
      <c r="Q183" s="290">
        <v>0</v>
      </c>
      <c r="R183" s="286">
        <v>0</v>
      </c>
      <c r="S183" s="682">
        <v>0</v>
      </c>
      <c r="T183" s="616">
        <v>0</v>
      </c>
    </row>
    <row r="184" spans="1:20" ht="14.5" x14ac:dyDescent="0.35">
      <c r="A184" s="192" t="s">
        <v>22</v>
      </c>
      <c r="B184" s="193">
        <v>45776</v>
      </c>
      <c r="C184" s="290">
        <v>946</v>
      </c>
      <c r="D184" s="481">
        <v>8</v>
      </c>
      <c r="E184" s="682">
        <v>0</v>
      </c>
      <c r="F184" s="616">
        <v>1</v>
      </c>
      <c r="G184" s="262"/>
      <c r="H184" s="192" t="s">
        <v>22</v>
      </c>
      <c r="I184" s="193">
        <v>45776</v>
      </c>
      <c r="J184" s="290">
        <v>400</v>
      </c>
      <c r="K184" s="481">
        <v>4</v>
      </c>
      <c r="L184" s="682">
        <v>0</v>
      </c>
      <c r="M184" s="616">
        <v>0</v>
      </c>
      <c r="O184" s="192" t="s">
        <v>22</v>
      </c>
      <c r="P184" s="193">
        <v>45776</v>
      </c>
      <c r="Q184" s="290">
        <v>0</v>
      </c>
      <c r="R184" s="481">
        <v>8</v>
      </c>
      <c r="S184" s="682">
        <v>0</v>
      </c>
      <c r="T184" s="616">
        <v>0</v>
      </c>
    </row>
    <row r="185" spans="1:20" ht="14.5" x14ac:dyDescent="0.35">
      <c r="A185" s="192" t="s">
        <v>24</v>
      </c>
      <c r="B185" s="193">
        <v>45777</v>
      </c>
      <c r="C185" s="290">
        <v>1544</v>
      </c>
      <c r="D185" s="262">
        <v>17</v>
      </c>
      <c r="E185" s="682">
        <v>0</v>
      </c>
      <c r="F185" s="616">
        <v>1</v>
      </c>
      <c r="G185" s="262"/>
      <c r="H185" s="192" t="s">
        <v>24</v>
      </c>
      <c r="I185" s="193">
        <v>45777</v>
      </c>
      <c r="J185" s="290">
        <v>1670</v>
      </c>
      <c r="K185" s="262">
        <v>9</v>
      </c>
      <c r="L185" s="682">
        <v>0</v>
      </c>
      <c r="M185" s="616">
        <v>0</v>
      </c>
      <c r="O185" s="192" t="s">
        <v>24</v>
      </c>
      <c r="P185" s="193">
        <v>45777</v>
      </c>
      <c r="Q185" s="290">
        <v>0</v>
      </c>
      <c r="R185" s="262">
        <v>7</v>
      </c>
      <c r="S185" s="682">
        <v>0</v>
      </c>
      <c r="T185" s="616">
        <v>0</v>
      </c>
    </row>
    <row r="186" spans="1:20" thickBot="1" x14ac:dyDescent="0.4">
      <c r="A186" s="192"/>
      <c r="B186" s="193"/>
      <c r="C186" s="718"/>
      <c r="D186" s="719"/>
      <c r="E186" s="720"/>
      <c r="F186" s="721"/>
      <c r="G186" s="262"/>
      <c r="H186" s="192"/>
      <c r="I186" s="193"/>
      <c r="J186" s="718"/>
      <c r="K186" s="719"/>
      <c r="L186" s="720"/>
      <c r="M186" s="721"/>
      <c r="O186" s="192"/>
      <c r="P186" s="193"/>
      <c r="Q186" s="718"/>
      <c r="R186" s="719"/>
      <c r="S186" s="720"/>
      <c r="T186" s="721"/>
    </row>
    <row r="187" spans="1:20" ht="14.5" x14ac:dyDescent="0.35">
      <c r="A187" s="257"/>
      <c r="B187" s="483"/>
      <c r="C187" s="484">
        <f>SUM(C155:C186)</f>
        <v>50290</v>
      </c>
      <c r="D187" s="485">
        <f>SUM(D155:D186)</f>
        <v>292</v>
      </c>
      <c r="E187" s="486">
        <f>SUM(E155:E186)</f>
        <v>7</v>
      </c>
      <c r="F187" s="487">
        <f>SUM(F155:F186)</f>
        <v>10</v>
      </c>
      <c r="H187" s="257"/>
      <c r="I187" s="483"/>
      <c r="J187" s="484">
        <f>SUM(J155:J186)</f>
        <v>19696</v>
      </c>
      <c r="K187" s="485">
        <f>SUM(K155:K186)</f>
        <v>111</v>
      </c>
      <c r="L187" s="486">
        <f>SUM(L155:L186)</f>
        <v>2</v>
      </c>
      <c r="M187" s="487">
        <f>SUM(M155:M186)</f>
        <v>8</v>
      </c>
      <c r="O187" s="257"/>
      <c r="P187" s="483"/>
      <c r="Q187" s="484">
        <f>SUM(Q155:Q186)</f>
        <v>20006</v>
      </c>
      <c r="R187" s="485">
        <f>SUM(R155:R186)</f>
        <v>133</v>
      </c>
      <c r="S187" s="486">
        <f>SUM(S155:S186)</f>
        <v>4</v>
      </c>
      <c r="T187" s="487">
        <f>SUM(T155:T186)</f>
        <v>13</v>
      </c>
    </row>
    <row r="188" spans="1:20" ht="14.5" x14ac:dyDescent="0.35">
      <c r="A188" s="262"/>
      <c r="B188" s="433"/>
      <c r="C188" s="508"/>
      <c r="D188" s="262"/>
      <c r="E188" s="508"/>
      <c r="F188" s="262"/>
      <c r="H188" s="262"/>
      <c r="I188" s="262"/>
      <c r="J188" s="262"/>
    </row>
    <row r="189" spans="1:20" ht="14.5" x14ac:dyDescent="0.35">
      <c r="A189" s="262"/>
      <c r="B189" s="262"/>
      <c r="C189" s="511"/>
      <c r="D189" s="511"/>
      <c r="E189" s="475"/>
      <c r="F189" s="511"/>
      <c r="H189" s="511"/>
      <c r="I189" s="262"/>
      <c r="J189" s="262"/>
      <c r="M189" s="262"/>
    </row>
    <row r="190" spans="1:20" thickBot="1" x14ac:dyDescent="0.4">
      <c r="A190" s="262"/>
      <c r="D190" s="511"/>
    </row>
    <row r="191" spans="1:20" ht="14.5" x14ac:dyDescent="0.35">
      <c r="A191" s="777"/>
      <c r="B191" s="778" t="s">
        <v>245</v>
      </c>
      <c r="C191" s="779" t="s">
        <v>93</v>
      </c>
      <c r="E191" s="913"/>
      <c r="K191" s="896" t="s">
        <v>94</v>
      </c>
      <c r="L191" s="896" t="s">
        <v>95</v>
      </c>
      <c r="M191" s="780" t="s">
        <v>96</v>
      </c>
      <c r="N191" s="899" t="s">
        <v>98</v>
      </c>
    </row>
    <row r="192" spans="1:20" ht="14.5" x14ac:dyDescent="0.35">
      <c r="A192" s="781" t="s">
        <v>99</v>
      </c>
      <c r="B192" s="782">
        <f>C35/26*26</f>
        <v>71948</v>
      </c>
      <c r="C192" s="842">
        <f>B192-70000</f>
        <v>1948</v>
      </c>
      <c r="K192" s="897">
        <v>62209</v>
      </c>
      <c r="L192" s="897">
        <v>57833</v>
      </c>
      <c r="M192" s="889">
        <v>68360</v>
      </c>
      <c r="N192" s="789">
        <f t="shared" ref="N192:N197" si="4">AVERAGE(K192:L192)</f>
        <v>60021</v>
      </c>
    </row>
    <row r="193" spans="1:14" ht="14.5" x14ac:dyDescent="0.35">
      <c r="A193" s="790" t="s">
        <v>37</v>
      </c>
      <c r="B193" s="782">
        <f>C74/26*26</f>
        <v>47466</v>
      </c>
      <c r="C193" s="852">
        <f>B193-55000</f>
        <v>-7534</v>
      </c>
      <c r="K193" s="897">
        <v>55755</v>
      </c>
      <c r="L193" s="897">
        <v>44025</v>
      </c>
      <c r="M193" s="889">
        <v>57621</v>
      </c>
      <c r="N193" s="789">
        <f t="shared" si="4"/>
        <v>49890</v>
      </c>
    </row>
    <row r="194" spans="1:14" ht="14.5" x14ac:dyDescent="0.35">
      <c r="A194" s="790" t="s">
        <v>100</v>
      </c>
      <c r="B194" s="782">
        <f>C110/26*26</f>
        <v>51305</v>
      </c>
      <c r="C194" s="842">
        <f>B194-50000</f>
        <v>1305</v>
      </c>
      <c r="K194" s="897">
        <v>51074</v>
      </c>
      <c r="L194" s="897">
        <v>39270</v>
      </c>
      <c r="M194" s="889">
        <v>42919</v>
      </c>
      <c r="N194" s="789">
        <f t="shared" si="4"/>
        <v>45172</v>
      </c>
    </row>
    <row r="195" spans="1:14" ht="14.5" x14ac:dyDescent="0.35">
      <c r="A195" s="791" t="s">
        <v>70</v>
      </c>
      <c r="B195" s="782">
        <f>C148/26*26</f>
        <v>34204</v>
      </c>
      <c r="C195" s="852">
        <f>B195-36000</f>
        <v>-1796</v>
      </c>
      <c r="K195" s="897">
        <v>36729</v>
      </c>
      <c r="L195" s="897">
        <v>27225</v>
      </c>
      <c r="M195" s="889">
        <v>31999</v>
      </c>
      <c r="N195" s="789">
        <f t="shared" si="4"/>
        <v>31977</v>
      </c>
    </row>
    <row r="196" spans="1:14" ht="14.5" x14ac:dyDescent="0.35">
      <c r="A196" s="797" t="s">
        <v>88</v>
      </c>
      <c r="B196" s="798">
        <f>(C187+J187+Q187)/26*26</f>
        <v>89992</v>
      </c>
      <c r="C196" s="914">
        <f>B196-(45000+25000+20000)</f>
        <v>-8</v>
      </c>
      <c r="K196" s="897">
        <v>38776</v>
      </c>
      <c r="L196" s="897">
        <v>45274</v>
      </c>
      <c r="M196" s="889">
        <v>44604</v>
      </c>
      <c r="N196" s="789">
        <f t="shared" si="4"/>
        <v>42025</v>
      </c>
    </row>
    <row r="197" spans="1:14" ht="14.5" x14ac:dyDescent="0.35">
      <c r="A197" s="801" t="s">
        <v>101</v>
      </c>
      <c r="B197" s="802">
        <f>SUM(B192:B196)</f>
        <v>294915</v>
      </c>
      <c r="C197" s="891">
        <f>SUM(C192:C196)</f>
        <v>-6085</v>
      </c>
      <c r="K197" s="898">
        <v>244543</v>
      </c>
      <c r="L197" s="911">
        <f>SUM(L192:L196)</f>
        <v>213627</v>
      </c>
      <c r="M197" s="912">
        <f>SUM(M192:M196)</f>
        <v>245503</v>
      </c>
      <c r="N197" s="900">
        <f t="shared" si="4"/>
        <v>229085</v>
      </c>
    </row>
    <row r="198" spans="1:14" ht="14.5" x14ac:dyDescent="0.35">
      <c r="A198" s="810"/>
      <c r="B198" s="811">
        <f>B197/26</f>
        <v>11342.884615384615</v>
      </c>
      <c r="C198" s="810"/>
      <c r="L198" s="865"/>
      <c r="M198" s="865"/>
    </row>
    <row r="199" spans="1:14" ht="14.5" x14ac:dyDescent="0.35">
      <c r="A199" s="810"/>
      <c r="B199" s="813"/>
      <c r="C199" s="814"/>
    </row>
    <row r="200" spans="1:14" ht="14.5" x14ac:dyDescent="0.35">
      <c r="A200" s="816" t="s">
        <v>102</v>
      </c>
      <c r="B200" s="780" t="s">
        <v>114</v>
      </c>
      <c r="C200" s="780" t="s">
        <v>103</v>
      </c>
      <c r="D200" s="780" t="s">
        <v>104</v>
      </c>
      <c r="E200" s="780" t="s">
        <v>105</v>
      </c>
      <c r="F200" s="780" t="s">
        <v>106</v>
      </c>
      <c r="G200" s="780" t="s">
        <v>107</v>
      </c>
      <c r="H200" s="780" t="s">
        <v>108</v>
      </c>
      <c r="I200" s="835" t="s">
        <v>109</v>
      </c>
      <c r="J200" s="894" t="s">
        <v>110</v>
      </c>
      <c r="K200" s="780" t="s">
        <v>111</v>
      </c>
      <c r="L200" s="780" t="s">
        <v>112</v>
      </c>
      <c r="M200" s="780" t="s">
        <v>113</v>
      </c>
      <c r="N200" s="818" t="s">
        <v>98</v>
      </c>
    </row>
    <row r="201" spans="1:14" ht="14.5" x14ac:dyDescent="0.35">
      <c r="A201" s="819" t="s">
        <v>99</v>
      </c>
      <c r="B201" s="785">
        <v>75374</v>
      </c>
      <c r="C201" s="786">
        <v>72600</v>
      </c>
      <c r="D201" s="787">
        <v>72030</v>
      </c>
      <c r="E201" s="787">
        <v>72545</v>
      </c>
      <c r="F201" s="786">
        <v>75155</v>
      </c>
      <c r="G201" s="784">
        <v>62987</v>
      </c>
      <c r="H201" s="784">
        <v>64844</v>
      </c>
      <c r="I201" s="863">
        <v>53912</v>
      </c>
      <c r="J201" s="888">
        <v>70795</v>
      </c>
      <c r="K201" s="783">
        <v>59678</v>
      </c>
      <c r="L201" s="784">
        <v>65325</v>
      </c>
      <c r="M201" s="785">
        <v>71363</v>
      </c>
      <c r="N201" s="789">
        <f>AVERAGE(B201:J201)</f>
        <v>68915.777777777781</v>
      </c>
    </row>
    <row r="202" spans="1:14" ht="14.5" x14ac:dyDescent="0.35">
      <c r="A202" s="819" t="s">
        <v>37</v>
      </c>
      <c r="B202" s="785">
        <v>55612</v>
      </c>
      <c r="C202" s="786">
        <v>53980</v>
      </c>
      <c r="D202" s="787">
        <v>49420</v>
      </c>
      <c r="E202" s="787">
        <v>54821</v>
      </c>
      <c r="F202" s="786">
        <v>56018</v>
      </c>
      <c r="G202" s="784">
        <v>60228</v>
      </c>
      <c r="H202" s="784">
        <v>54103</v>
      </c>
      <c r="I202" s="863">
        <v>41310</v>
      </c>
      <c r="J202" s="888">
        <v>46158</v>
      </c>
      <c r="K202" s="783">
        <v>43365</v>
      </c>
      <c r="L202" s="784">
        <v>38287</v>
      </c>
      <c r="M202" s="785">
        <v>45858</v>
      </c>
      <c r="N202" s="789">
        <f>AVERAGE(B202:J202)</f>
        <v>52405.555555555555</v>
      </c>
    </row>
    <row r="203" spans="1:14" ht="14.5" x14ac:dyDescent="0.35">
      <c r="A203" s="819" t="s">
        <v>100</v>
      </c>
      <c r="B203" s="785">
        <v>56144</v>
      </c>
      <c r="C203" s="786">
        <v>54118</v>
      </c>
      <c r="D203" s="787">
        <v>58320</v>
      </c>
      <c r="E203" s="787">
        <v>51390</v>
      </c>
      <c r="F203" s="786">
        <v>60136.999999999993</v>
      </c>
      <c r="G203" s="784">
        <v>56294</v>
      </c>
      <c r="H203" s="784">
        <v>71263</v>
      </c>
      <c r="I203" s="863">
        <v>57204</v>
      </c>
      <c r="J203" s="888">
        <v>56105</v>
      </c>
      <c r="K203" s="783">
        <v>43344</v>
      </c>
      <c r="L203" s="784">
        <v>54088</v>
      </c>
      <c r="M203" s="785">
        <v>56961</v>
      </c>
      <c r="N203" s="789">
        <f>AVERAGE(B203:J203)</f>
        <v>57886.111111111109</v>
      </c>
    </row>
    <row r="204" spans="1:14" ht="14.5" x14ac:dyDescent="0.35">
      <c r="A204" s="865" t="s">
        <v>115</v>
      </c>
      <c r="B204" s="794"/>
      <c r="C204" s="795"/>
      <c r="D204" s="796"/>
      <c r="E204" s="796">
        <v>15641</v>
      </c>
      <c r="F204" s="786">
        <v>49296</v>
      </c>
      <c r="G204" s="784">
        <v>46460</v>
      </c>
      <c r="H204" s="784">
        <v>38381</v>
      </c>
      <c r="I204" s="863">
        <v>34911</v>
      </c>
      <c r="J204" s="888">
        <v>34895</v>
      </c>
      <c r="K204" s="795"/>
      <c r="L204" s="793"/>
      <c r="M204" s="794"/>
      <c r="N204" s="789">
        <f>AVERAGE(F204:J204)</f>
        <v>40788.6</v>
      </c>
    </row>
    <row r="205" spans="1:14" ht="14.5" x14ac:dyDescent="0.35">
      <c r="A205" s="819" t="s">
        <v>88</v>
      </c>
      <c r="B205" s="785">
        <v>67460</v>
      </c>
      <c r="C205" s="786">
        <v>57984</v>
      </c>
      <c r="D205" s="787">
        <v>47444</v>
      </c>
      <c r="E205" s="787">
        <v>56888</v>
      </c>
      <c r="F205" s="800">
        <v>64418</v>
      </c>
      <c r="G205" s="784">
        <v>47105</v>
      </c>
      <c r="H205" s="784">
        <v>51582</v>
      </c>
      <c r="I205" s="863">
        <v>45924</v>
      </c>
      <c r="J205" s="888">
        <v>44591</v>
      </c>
      <c r="K205" s="783">
        <v>34063</v>
      </c>
      <c r="L205" s="784">
        <v>44190</v>
      </c>
      <c r="M205" s="785">
        <v>32129</v>
      </c>
      <c r="N205" s="789">
        <f>AVERAGE(B205:J205)</f>
        <v>53710.666666666664</v>
      </c>
    </row>
    <row r="206" spans="1:14" ht="14.5" x14ac:dyDescent="0.35">
      <c r="A206" s="822" t="s">
        <v>101</v>
      </c>
      <c r="B206" s="804">
        <f>SUM(B201:B205)</f>
        <v>254590</v>
      </c>
      <c r="C206" s="804">
        <f>SUM(C201:C205)</f>
        <v>238682</v>
      </c>
      <c r="D206" s="804">
        <f>SUM(D201:D205)</f>
        <v>227214</v>
      </c>
      <c r="E206" s="804">
        <v>251285</v>
      </c>
      <c r="F206" s="805">
        <v>305024</v>
      </c>
      <c r="G206" s="806">
        <f>SUM(G201:G205)</f>
        <v>273074</v>
      </c>
      <c r="H206" s="807">
        <v>280173</v>
      </c>
      <c r="I206" s="808">
        <v>233261</v>
      </c>
      <c r="J206" s="883">
        <f>SUM(J201:J205)</f>
        <v>252544</v>
      </c>
      <c r="K206" s="803">
        <v>180450</v>
      </c>
      <c r="L206" s="804">
        <f>SUM(L201:L205)</f>
        <v>201890</v>
      </c>
      <c r="M206" s="804">
        <f>SUM(M201:M205)</f>
        <v>206311</v>
      </c>
      <c r="N206" s="809">
        <f>SUM(N201:N205)</f>
        <v>273706.7111111111</v>
      </c>
    </row>
    <row r="207" spans="1:14" ht="14.5" x14ac:dyDescent="0.35">
      <c r="A207" s="810"/>
      <c r="B207" s="815"/>
      <c r="C207" s="815"/>
      <c r="D207" s="815"/>
      <c r="E207" s="815"/>
      <c r="F207" s="815"/>
      <c r="G207" s="815"/>
      <c r="H207" s="810"/>
      <c r="I207" s="810"/>
      <c r="K207" s="815"/>
      <c r="L207" s="815"/>
      <c r="M207" s="815"/>
      <c r="N207" s="810"/>
    </row>
    <row r="208" spans="1:14" ht="14.5" x14ac:dyDescent="0.35">
      <c r="A208" s="817" t="s">
        <v>102</v>
      </c>
      <c r="B208" s="816" t="s">
        <v>127</v>
      </c>
      <c r="C208" s="816" t="s">
        <v>116</v>
      </c>
      <c r="D208" s="817" t="s">
        <v>117</v>
      </c>
      <c r="E208" s="816" t="s">
        <v>118</v>
      </c>
      <c r="F208" s="816" t="s">
        <v>119</v>
      </c>
      <c r="G208" s="816" t="s">
        <v>120</v>
      </c>
      <c r="H208" s="816" t="s">
        <v>121</v>
      </c>
      <c r="I208" s="816" t="s">
        <v>122</v>
      </c>
      <c r="J208" s="816" t="s">
        <v>123</v>
      </c>
      <c r="K208" s="816" t="s">
        <v>124</v>
      </c>
      <c r="L208" s="816" t="s">
        <v>125</v>
      </c>
      <c r="M208" s="816" t="s">
        <v>126</v>
      </c>
      <c r="N208" s="818" t="s">
        <v>98</v>
      </c>
    </row>
    <row r="209" spans="1:14" ht="14.5" x14ac:dyDescent="0.35">
      <c r="A209" s="833" t="s">
        <v>99</v>
      </c>
      <c r="B209" s="819">
        <v>58127</v>
      </c>
      <c r="C209" s="819">
        <v>74979</v>
      </c>
      <c r="D209" s="820">
        <v>63950</v>
      </c>
      <c r="E209" s="819">
        <v>73973</v>
      </c>
      <c r="F209" s="819">
        <v>63776</v>
      </c>
      <c r="G209" s="819">
        <v>62209</v>
      </c>
      <c r="H209" s="819">
        <v>61961</v>
      </c>
      <c r="I209" s="819">
        <v>62927</v>
      </c>
      <c r="J209" s="819">
        <v>50792</v>
      </c>
      <c r="K209" s="819">
        <v>55786</v>
      </c>
      <c r="L209" s="819">
        <v>48081</v>
      </c>
      <c r="M209" s="819">
        <v>66142</v>
      </c>
      <c r="N209" s="821">
        <f>AVERAGE(B209:D209)</f>
        <v>65685.333333333328</v>
      </c>
    </row>
    <row r="210" spans="1:14" ht="14.5" x14ac:dyDescent="0.35">
      <c r="A210" s="833" t="s">
        <v>37</v>
      </c>
      <c r="B210" s="819">
        <v>42706</v>
      </c>
      <c r="C210" s="819">
        <v>48870</v>
      </c>
      <c r="D210" s="820">
        <v>44783</v>
      </c>
      <c r="E210" s="819">
        <v>58612</v>
      </c>
      <c r="F210" s="819">
        <v>59247</v>
      </c>
      <c r="G210" s="819">
        <v>49882</v>
      </c>
      <c r="H210" s="819">
        <v>42564</v>
      </c>
      <c r="I210" s="819">
        <v>44217</v>
      </c>
      <c r="J210" s="819">
        <v>42911</v>
      </c>
      <c r="K210" s="819">
        <v>40388</v>
      </c>
      <c r="L210" s="819">
        <v>32034</v>
      </c>
      <c r="M210" s="819">
        <v>38086</v>
      </c>
      <c r="N210" s="821">
        <f>AVERAGE(B210:D210)</f>
        <v>45453</v>
      </c>
    </row>
    <row r="211" spans="1:14" ht="14.5" x14ac:dyDescent="0.35">
      <c r="A211" s="833" t="s">
        <v>100</v>
      </c>
      <c r="B211" s="819">
        <v>26635</v>
      </c>
      <c r="C211" s="819">
        <v>38487</v>
      </c>
      <c r="D211" s="820">
        <v>41827</v>
      </c>
      <c r="E211" s="819">
        <v>48432</v>
      </c>
      <c r="F211" s="819">
        <v>45807</v>
      </c>
      <c r="G211" s="819">
        <v>47219</v>
      </c>
      <c r="H211" s="819">
        <v>49140</v>
      </c>
      <c r="I211" s="819">
        <v>45889</v>
      </c>
      <c r="J211" s="819">
        <v>42002</v>
      </c>
      <c r="K211" s="819">
        <v>29164</v>
      </c>
      <c r="L211" s="819">
        <v>24425</v>
      </c>
      <c r="M211" s="819">
        <v>32384</v>
      </c>
      <c r="N211" s="821">
        <f>AVERAGE(B211:D211)</f>
        <v>35649.666666666664</v>
      </c>
    </row>
    <row r="212" spans="1:14" ht="14.5" x14ac:dyDescent="0.35">
      <c r="A212" s="833" t="s">
        <v>88</v>
      </c>
      <c r="B212" s="819">
        <v>89693</v>
      </c>
      <c r="C212" s="819">
        <v>115741.16666666666</v>
      </c>
      <c r="D212" s="820">
        <v>92550</v>
      </c>
      <c r="E212" s="819">
        <v>102728</v>
      </c>
      <c r="F212" s="819">
        <v>102029</v>
      </c>
      <c r="G212" s="819">
        <v>73495</v>
      </c>
      <c r="H212" s="819">
        <v>77358</v>
      </c>
      <c r="I212" s="819">
        <v>75185</v>
      </c>
      <c r="J212" s="819">
        <v>62889</v>
      </c>
      <c r="K212" s="819">
        <v>78647</v>
      </c>
      <c r="L212" s="819">
        <v>71233</v>
      </c>
      <c r="M212" s="819">
        <v>80881</v>
      </c>
      <c r="N212" s="821">
        <f>AVERAGE(B212:D212)</f>
        <v>99328.055555555547</v>
      </c>
    </row>
    <row r="213" spans="1:14" ht="14.5" x14ac:dyDescent="0.35">
      <c r="A213" s="834" t="s">
        <v>101</v>
      </c>
      <c r="B213" s="823">
        <v>217161</v>
      </c>
      <c r="C213" s="823">
        <f>SUM(C209:C212)</f>
        <v>278077.16666666663</v>
      </c>
      <c r="D213" s="823">
        <f>SUM(D209:D212)</f>
        <v>243110</v>
      </c>
      <c r="E213" s="823">
        <v>283745</v>
      </c>
      <c r="F213" s="823">
        <v>270859</v>
      </c>
      <c r="G213" s="823">
        <v>232805</v>
      </c>
      <c r="H213" s="823">
        <v>231023</v>
      </c>
      <c r="I213" s="823">
        <v>228218</v>
      </c>
      <c r="J213" s="823">
        <v>198594</v>
      </c>
      <c r="K213" s="823">
        <v>203985</v>
      </c>
      <c r="L213" s="823">
        <v>175773</v>
      </c>
      <c r="M213" s="823">
        <v>217493</v>
      </c>
      <c r="N213" s="809">
        <f>AVERAGE(B213:D213)</f>
        <v>246116.05555555553</v>
      </c>
    </row>
    <row r="214" spans="1:14" ht="14.5" x14ac:dyDescent="0.35">
      <c r="B214" s="815"/>
      <c r="C214" s="815"/>
      <c r="D214" s="815"/>
      <c r="E214" s="810"/>
      <c r="F214" s="810"/>
      <c r="G214" s="810"/>
      <c r="H214" s="810"/>
      <c r="I214" s="810"/>
      <c r="J214" s="810"/>
      <c r="K214" s="810"/>
      <c r="L214" s="815"/>
      <c r="M214" s="815"/>
      <c r="N214" s="810"/>
    </row>
    <row r="215" spans="1:14" ht="14.5" x14ac:dyDescent="0.35">
      <c r="A215" s="817" t="s">
        <v>102</v>
      </c>
      <c r="B215" s="816" t="s">
        <v>139</v>
      </c>
      <c r="C215" s="816" t="s">
        <v>128</v>
      </c>
      <c r="D215" s="817" t="s">
        <v>129</v>
      </c>
      <c r="E215" s="816" t="s">
        <v>130</v>
      </c>
      <c r="F215" s="816" t="s">
        <v>131</v>
      </c>
      <c r="G215" s="816" t="s">
        <v>132</v>
      </c>
      <c r="H215" s="816" t="s">
        <v>133</v>
      </c>
      <c r="I215" s="816" t="s">
        <v>134</v>
      </c>
      <c r="J215" s="816" t="s">
        <v>135</v>
      </c>
      <c r="K215" s="825" t="s">
        <v>136</v>
      </c>
      <c r="L215" s="816" t="s">
        <v>137</v>
      </c>
      <c r="M215" s="816" t="s">
        <v>138</v>
      </c>
      <c r="N215" s="818" t="s">
        <v>98</v>
      </c>
    </row>
    <row r="216" spans="1:14" ht="14.5" x14ac:dyDescent="0.35">
      <c r="A216" s="833" t="s">
        <v>99</v>
      </c>
      <c r="B216" s="826">
        <v>63396</v>
      </c>
      <c r="C216" s="826">
        <v>52819.21</v>
      </c>
      <c r="D216" s="827">
        <v>53324</v>
      </c>
      <c r="E216" s="826">
        <v>61519</v>
      </c>
      <c r="F216" s="826">
        <v>70743</v>
      </c>
      <c r="G216" s="828">
        <v>55027</v>
      </c>
      <c r="H216" s="828">
        <v>54932</v>
      </c>
      <c r="I216" s="828">
        <v>43776</v>
      </c>
      <c r="J216" s="828">
        <v>49810</v>
      </c>
      <c r="K216" s="784">
        <v>75616</v>
      </c>
      <c r="L216" s="826">
        <v>68029</v>
      </c>
      <c r="M216" s="826">
        <v>59606</v>
      </c>
      <c r="N216" s="829">
        <f>AVERAGE(B216:D216)</f>
        <v>56513.07</v>
      </c>
    </row>
    <row r="217" spans="1:14" ht="14.5" x14ac:dyDescent="0.35">
      <c r="A217" s="833" t="s">
        <v>37</v>
      </c>
      <c r="B217" s="826">
        <v>39971</v>
      </c>
      <c r="C217" s="826">
        <v>33459.82</v>
      </c>
      <c r="D217" s="827">
        <v>39860</v>
      </c>
      <c r="E217" s="826">
        <v>41717</v>
      </c>
      <c r="F217" s="826">
        <v>40181</v>
      </c>
      <c r="G217" s="828">
        <v>41079</v>
      </c>
      <c r="H217" s="828">
        <v>39875</v>
      </c>
      <c r="I217" s="828">
        <v>35835</v>
      </c>
      <c r="J217" s="828">
        <v>28946</v>
      </c>
      <c r="K217" s="784">
        <v>43422</v>
      </c>
      <c r="L217" s="826">
        <v>35147</v>
      </c>
      <c r="M217" s="826">
        <v>37370</v>
      </c>
      <c r="N217" s="829">
        <f>AVERAGE(B217:D217)</f>
        <v>37763.606666666667</v>
      </c>
    </row>
    <row r="218" spans="1:14" ht="14.5" x14ac:dyDescent="0.35">
      <c r="A218" s="833" t="s">
        <v>100</v>
      </c>
      <c r="B218" s="826">
        <v>3428</v>
      </c>
      <c r="C218" s="826">
        <v>13471.49</v>
      </c>
      <c r="D218" s="827">
        <v>12544</v>
      </c>
      <c r="E218" s="826">
        <v>13788</v>
      </c>
      <c r="F218" s="826">
        <v>17451</v>
      </c>
      <c r="G218" s="828">
        <v>20924</v>
      </c>
      <c r="H218" s="828">
        <v>23756</v>
      </c>
      <c r="I218" s="828">
        <v>18015</v>
      </c>
      <c r="J218" s="828">
        <v>15778</v>
      </c>
      <c r="K218" s="825" t="s">
        <v>140</v>
      </c>
      <c r="L218" s="816"/>
      <c r="M218" s="816"/>
      <c r="N218" s="829">
        <f>AVERAGE(B218:D218)</f>
        <v>9814.496666666666</v>
      </c>
    </row>
    <row r="219" spans="1:14" ht="14.5" x14ac:dyDescent="0.35">
      <c r="A219" s="833" t="s">
        <v>88</v>
      </c>
      <c r="B219" s="826">
        <v>49038</v>
      </c>
      <c r="C219" s="826">
        <v>21042</v>
      </c>
      <c r="D219" s="827">
        <v>35748</v>
      </c>
      <c r="E219" s="826">
        <v>44347</v>
      </c>
      <c r="F219" s="826">
        <v>72570</v>
      </c>
      <c r="G219" s="828">
        <v>89947</v>
      </c>
      <c r="H219" s="828">
        <v>99078</v>
      </c>
      <c r="I219" s="828">
        <v>75226</v>
      </c>
      <c r="J219" s="828">
        <v>76874</v>
      </c>
      <c r="K219" s="784">
        <v>51000</v>
      </c>
      <c r="L219" s="826">
        <v>41240</v>
      </c>
      <c r="M219" s="826">
        <v>47352</v>
      </c>
      <c r="N219" s="829">
        <f>AVERAGE(B219:D219)</f>
        <v>35276</v>
      </c>
    </row>
    <row r="220" spans="1:14" ht="14.5" x14ac:dyDescent="0.35">
      <c r="A220" s="834" t="s">
        <v>101</v>
      </c>
      <c r="B220" s="830">
        <f t="shared" ref="B220:E220" si="5">SUM(B216:B219)</f>
        <v>155833</v>
      </c>
      <c r="C220" s="830">
        <f t="shared" si="5"/>
        <v>120792.52</v>
      </c>
      <c r="D220" s="830">
        <f t="shared" si="5"/>
        <v>141476</v>
      </c>
      <c r="E220" s="830">
        <f t="shared" si="5"/>
        <v>161371</v>
      </c>
      <c r="F220" s="830">
        <f>SUM(F216:F219)</f>
        <v>200945</v>
      </c>
      <c r="G220" s="823">
        <v>206977</v>
      </c>
      <c r="H220" s="823">
        <v>217641</v>
      </c>
      <c r="I220" s="823">
        <v>172852</v>
      </c>
      <c r="J220" s="823">
        <v>171408</v>
      </c>
      <c r="K220" s="807">
        <v>170038</v>
      </c>
      <c r="L220" s="830">
        <f>SUM(L216:L219)</f>
        <v>144416</v>
      </c>
      <c r="M220" s="830">
        <f>SUM(M216:M219)</f>
        <v>144328</v>
      </c>
      <c r="N220" s="830">
        <f>AVERAGE(B220:D220)</f>
        <v>139367.17333333334</v>
      </c>
    </row>
    <row r="221" spans="1:14" ht="14.5" x14ac:dyDescent="0.35"/>
    <row r="222" spans="1:14" ht="14.5" x14ac:dyDescent="0.35"/>
    <row r="223" spans="1:14" ht="14.5" x14ac:dyDescent="0.35"/>
    <row r="224" spans="1:14" ht="14.5" x14ac:dyDescent="0.35">
      <c r="A224" s="628"/>
      <c r="B224" s="628"/>
      <c r="C224" s="542" t="s">
        <v>141</v>
      </c>
      <c r="D224" s="542" t="s">
        <v>142</v>
      </c>
      <c r="I224" s="262"/>
      <c r="J224" s="262"/>
      <c r="M224" s="262"/>
    </row>
    <row r="225" spans="1:13" s="580" customFormat="1" ht="14.5" x14ac:dyDescent="0.35">
      <c r="A225" s="192" t="s">
        <v>22</v>
      </c>
      <c r="B225" s="193">
        <v>45748</v>
      </c>
      <c r="C225" s="892">
        <f t="shared" ref="C225:C254" si="6">C4+C43+C79+C117+C156</f>
        <v>8027</v>
      </c>
      <c r="D225" s="893">
        <f>C225</f>
        <v>8027</v>
      </c>
      <c r="I225" s="623"/>
      <c r="K225"/>
      <c r="L225"/>
    </row>
    <row r="226" spans="1:13" ht="14.5" x14ac:dyDescent="0.35">
      <c r="A226" s="192" t="s">
        <v>24</v>
      </c>
      <c r="B226" s="193">
        <v>45749</v>
      </c>
      <c r="C226" s="626">
        <f t="shared" si="6"/>
        <v>7322</v>
      </c>
      <c r="D226" s="584">
        <f>C225+C226</f>
        <v>15349</v>
      </c>
      <c r="I226" s="624"/>
    </row>
    <row r="227" spans="1:13" ht="14.5" x14ac:dyDescent="0.35">
      <c r="A227" s="192" t="s">
        <v>10</v>
      </c>
      <c r="B227" s="193">
        <v>45750</v>
      </c>
      <c r="C227" s="626">
        <f t="shared" si="6"/>
        <v>11439</v>
      </c>
      <c r="D227" s="584">
        <f t="shared" ref="D227:D254" si="7">D226+C227</f>
        <v>26788</v>
      </c>
      <c r="I227" s="624"/>
    </row>
    <row r="228" spans="1:13" ht="14.5" x14ac:dyDescent="0.35">
      <c r="A228" s="192" t="s">
        <v>13</v>
      </c>
      <c r="B228" s="193">
        <v>45751</v>
      </c>
      <c r="C228" s="626">
        <f t="shared" si="6"/>
        <v>8580</v>
      </c>
      <c r="D228" s="584">
        <f t="shared" si="7"/>
        <v>35368</v>
      </c>
      <c r="I228" s="624"/>
      <c r="K228" s="554"/>
      <c r="L228" s="555"/>
    </row>
    <row r="229" spans="1:13" ht="14.5" x14ac:dyDescent="0.35">
      <c r="A229" s="192" t="s">
        <v>16</v>
      </c>
      <c r="B229" s="193">
        <v>45752</v>
      </c>
      <c r="C229" s="626">
        <f t="shared" si="6"/>
        <v>8943</v>
      </c>
      <c r="D229" s="584">
        <f t="shared" si="7"/>
        <v>44311</v>
      </c>
      <c r="I229" s="624"/>
    </row>
    <row r="230" spans="1:13" ht="14.5" x14ac:dyDescent="0.35">
      <c r="A230" s="192" t="s">
        <v>18</v>
      </c>
      <c r="B230" s="193">
        <v>45753</v>
      </c>
      <c r="C230" s="626">
        <f t="shared" si="6"/>
        <v>0</v>
      </c>
      <c r="D230" s="584">
        <f t="shared" si="7"/>
        <v>44311</v>
      </c>
      <c r="I230" s="624"/>
    </row>
    <row r="231" spans="1:13" ht="14.5" x14ac:dyDescent="0.35">
      <c r="A231" s="192" t="s">
        <v>20</v>
      </c>
      <c r="B231" s="193">
        <v>45754</v>
      </c>
      <c r="C231" s="626">
        <f t="shared" si="6"/>
        <v>14555</v>
      </c>
      <c r="D231" s="584">
        <f t="shared" si="7"/>
        <v>58866</v>
      </c>
      <c r="I231" s="624"/>
      <c r="J231" s="554"/>
      <c r="M231" s="554"/>
    </row>
    <row r="232" spans="1:13" ht="14.5" x14ac:dyDescent="0.35">
      <c r="A232" s="192" t="s">
        <v>22</v>
      </c>
      <c r="B232" s="193">
        <v>45755</v>
      </c>
      <c r="C232" s="626">
        <f t="shared" si="6"/>
        <v>10254</v>
      </c>
      <c r="D232" s="584">
        <f t="shared" si="7"/>
        <v>69120</v>
      </c>
      <c r="I232" s="625"/>
    </row>
    <row r="233" spans="1:13" ht="14.5" x14ac:dyDescent="0.35">
      <c r="A233" s="192" t="s">
        <v>24</v>
      </c>
      <c r="B233" s="193">
        <v>45756</v>
      </c>
      <c r="C233" s="626">
        <f t="shared" si="6"/>
        <v>6153</v>
      </c>
      <c r="D233" s="584">
        <f t="shared" si="7"/>
        <v>75273</v>
      </c>
      <c r="I233" s="625"/>
    </row>
    <row r="234" spans="1:13" ht="14.5" x14ac:dyDescent="0.35">
      <c r="A234" s="192" t="s">
        <v>10</v>
      </c>
      <c r="B234" s="193">
        <v>45757</v>
      </c>
      <c r="C234" s="626">
        <f t="shared" si="6"/>
        <v>8598</v>
      </c>
      <c r="D234" s="584">
        <f t="shared" si="7"/>
        <v>83871</v>
      </c>
      <c r="I234" s="625"/>
    </row>
    <row r="235" spans="1:13" ht="14.5" x14ac:dyDescent="0.35">
      <c r="A235" s="192" t="s">
        <v>13</v>
      </c>
      <c r="B235" s="193">
        <v>45758</v>
      </c>
      <c r="C235" s="626">
        <f t="shared" si="6"/>
        <v>7572</v>
      </c>
      <c r="D235" s="584">
        <f t="shared" si="7"/>
        <v>91443</v>
      </c>
    </row>
    <row r="236" spans="1:13" ht="14.5" x14ac:dyDescent="0.35">
      <c r="A236" s="192" t="s">
        <v>16</v>
      </c>
      <c r="B236" s="193">
        <v>45759</v>
      </c>
      <c r="C236" s="626">
        <f t="shared" si="6"/>
        <v>10619</v>
      </c>
      <c r="D236" s="584">
        <f t="shared" si="7"/>
        <v>102062</v>
      </c>
      <c r="K236" s="580"/>
      <c r="L236" s="580"/>
    </row>
    <row r="237" spans="1:13" ht="14.5" x14ac:dyDescent="0.35">
      <c r="A237" s="192" t="s">
        <v>18</v>
      </c>
      <c r="B237" s="193">
        <v>45760</v>
      </c>
      <c r="C237" s="626">
        <f t="shared" si="6"/>
        <v>0</v>
      </c>
      <c r="D237" s="584">
        <f t="shared" si="7"/>
        <v>102062</v>
      </c>
    </row>
    <row r="238" spans="1:13" ht="14.5" x14ac:dyDescent="0.35">
      <c r="A238" s="192" t="s">
        <v>20</v>
      </c>
      <c r="B238" s="193">
        <v>45761</v>
      </c>
      <c r="C238" s="626">
        <f>C17+C56+C92+C130+C169</f>
        <v>14293</v>
      </c>
      <c r="D238" s="584">
        <f t="shared" si="7"/>
        <v>116355</v>
      </c>
    </row>
    <row r="239" spans="1:13" s="580" customFormat="1" ht="14.5" x14ac:dyDescent="0.35">
      <c r="A239" s="192" t="s">
        <v>22</v>
      </c>
      <c r="B239" s="193">
        <v>45762</v>
      </c>
      <c r="C239" s="626">
        <f t="shared" si="6"/>
        <v>12259</v>
      </c>
      <c r="D239" s="584">
        <f t="shared" si="7"/>
        <v>128614</v>
      </c>
      <c r="K239"/>
      <c r="L239"/>
    </row>
    <row r="240" spans="1:13" ht="14.5" x14ac:dyDescent="0.35">
      <c r="A240" s="192" t="s">
        <v>24</v>
      </c>
      <c r="B240" s="193">
        <v>45763</v>
      </c>
      <c r="C240" s="626">
        <f t="shared" si="6"/>
        <v>5443</v>
      </c>
      <c r="D240" s="584">
        <f t="shared" si="7"/>
        <v>134057</v>
      </c>
    </row>
    <row r="241" spans="1:12" ht="14.5" x14ac:dyDescent="0.35">
      <c r="A241" s="192" t="s">
        <v>10</v>
      </c>
      <c r="B241" s="193">
        <v>45764</v>
      </c>
      <c r="C241" s="626">
        <f t="shared" si="6"/>
        <v>10936</v>
      </c>
      <c r="D241" s="584">
        <f t="shared" si="7"/>
        <v>144993</v>
      </c>
    </row>
    <row r="242" spans="1:12" ht="14.5" x14ac:dyDescent="0.35">
      <c r="A242" s="192" t="s">
        <v>13</v>
      </c>
      <c r="B242" s="193">
        <v>45765</v>
      </c>
      <c r="C242" s="626">
        <f t="shared" si="6"/>
        <v>7835</v>
      </c>
      <c r="D242" s="584">
        <f t="shared" si="7"/>
        <v>152828</v>
      </c>
    </row>
    <row r="243" spans="1:12" ht="14.5" x14ac:dyDescent="0.35">
      <c r="A243" s="192" t="s">
        <v>16</v>
      </c>
      <c r="B243" s="193">
        <v>45766</v>
      </c>
      <c r="C243" s="626">
        <f t="shared" si="6"/>
        <v>12117</v>
      </c>
      <c r="D243" s="584">
        <f t="shared" si="7"/>
        <v>164945</v>
      </c>
      <c r="K243" s="580"/>
      <c r="L243" s="580"/>
    </row>
    <row r="244" spans="1:12" ht="15" customHeight="1" x14ac:dyDescent="0.35">
      <c r="A244" s="192" t="s">
        <v>18</v>
      </c>
      <c r="B244" s="193">
        <v>45767</v>
      </c>
      <c r="C244" s="626">
        <f t="shared" si="6"/>
        <v>0</v>
      </c>
      <c r="D244" s="584">
        <f t="shared" si="7"/>
        <v>164945</v>
      </c>
    </row>
    <row r="245" spans="1:12" ht="15" customHeight="1" x14ac:dyDescent="0.35">
      <c r="A245" s="192" t="s">
        <v>20</v>
      </c>
      <c r="B245" s="193">
        <v>45768</v>
      </c>
      <c r="C245" s="626">
        <f t="shared" si="6"/>
        <v>14545</v>
      </c>
      <c r="D245" s="584">
        <f t="shared" si="7"/>
        <v>179490</v>
      </c>
    </row>
    <row r="246" spans="1:12" s="580" customFormat="1" ht="15" customHeight="1" x14ac:dyDescent="0.35">
      <c r="A246" s="192" t="s">
        <v>22</v>
      </c>
      <c r="B246" s="193">
        <v>45769</v>
      </c>
      <c r="C246" s="626">
        <f t="shared" si="6"/>
        <v>10546</v>
      </c>
      <c r="D246" s="584">
        <f t="shared" si="7"/>
        <v>190036</v>
      </c>
      <c r="K246"/>
      <c r="L246"/>
    </row>
    <row r="247" spans="1:12" ht="15" customHeight="1" x14ac:dyDescent="0.35">
      <c r="A247" s="192" t="s">
        <v>24</v>
      </c>
      <c r="B247" s="193">
        <v>45770</v>
      </c>
      <c r="C247" s="626">
        <f t="shared" si="6"/>
        <v>7521</v>
      </c>
      <c r="D247" s="584">
        <f t="shared" si="7"/>
        <v>197557</v>
      </c>
    </row>
    <row r="248" spans="1:12" ht="15" customHeight="1" x14ac:dyDescent="0.35">
      <c r="A248" s="192" t="s">
        <v>10</v>
      </c>
      <c r="B248" s="193">
        <v>45771</v>
      </c>
      <c r="C248" s="626">
        <f t="shared" si="6"/>
        <v>5943</v>
      </c>
      <c r="D248" s="584">
        <f t="shared" si="7"/>
        <v>203500</v>
      </c>
    </row>
    <row r="249" spans="1:12" ht="15" customHeight="1" x14ac:dyDescent="0.35">
      <c r="A249" s="192" t="s">
        <v>13</v>
      </c>
      <c r="B249" s="193">
        <v>45772</v>
      </c>
      <c r="C249" s="626">
        <f t="shared" si="6"/>
        <v>8342</v>
      </c>
      <c r="D249" s="584">
        <f t="shared" si="7"/>
        <v>211842</v>
      </c>
    </row>
    <row r="250" spans="1:12" ht="15" customHeight="1" x14ac:dyDescent="0.35">
      <c r="A250" s="192" t="s">
        <v>16</v>
      </c>
      <c r="B250" s="193">
        <v>45773</v>
      </c>
      <c r="C250" s="626">
        <f t="shared" si="6"/>
        <v>15533</v>
      </c>
      <c r="D250" s="584">
        <f t="shared" si="7"/>
        <v>227375</v>
      </c>
      <c r="K250" s="580"/>
      <c r="L250" s="580"/>
    </row>
    <row r="251" spans="1:12" ht="15" customHeight="1" x14ac:dyDescent="0.35">
      <c r="A251" s="192" t="s">
        <v>18</v>
      </c>
      <c r="B251" s="193">
        <v>45774</v>
      </c>
      <c r="C251" s="626">
        <f t="shared" si="6"/>
        <v>0</v>
      </c>
      <c r="D251" s="584">
        <f t="shared" si="7"/>
        <v>227375</v>
      </c>
    </row>
    <row r="252" spans="1:12" ht="15" customHeight="1" x14ac:dyDescent="0.35">
      <c r="A252" s="192" t="s">
        <v>20</v>
      </c>
      <c r="B252" s="193">
        <v>45775</v>
      </c>
      <c r="C252" s="626">
        <f t="shared" si="6"/>
        <v>11323</v>
      </c>
      <c r="D252" s="584">
        <f t="shared" si="7"/>
        <v>238698</v>
      </c>
    </row>
    <row r="253" spans="1:12" s="580" customFormat="1" ht="15" customHeight="1" x14ac:dyDescent="0.35">
      <c r="A253" s="192" t="s">
        <v>22</v>
      </c>
      <c r="B253" s="193">
        <v>45776</v>
      </c>
      <c r="C253" s="626">
        <f t="shared" si="6"/>
        <v>9556</v>
      </c>
      <c r="D253" s="584">
        <f t="shared" si="7"/>
        <v>248254</v>
      </c>
      <c r="K253"/>
      <c r="L253"/>
    </row>
    <row r="254" spans="1:12" ht="15" customHeight="1" x14ac:dyDescent="0.35">
      <c r="A254" s="192" t="s">
        <v>24</v>
      </c>
      <c r="B254" s="193">
        <v>45777</v>
      </c>
      <c r="C254" s="626">
        <f t="shared" si="6"/>
        <v>6959</v>
      </c>
      <c r="D254" s="584">
        <f t="shared" si="7"/>
        <v>255213</v>
      </c>
    </row>
    <row r="255" spans="1:12" ht="15" customHeight="1" x14ac:dyDescent="0.35">
      <c r="A255" s="192"/>
      <c r="B255" s="193"/>
      <c r="C255" s="626"/>
      <c r="D255" s="584">
        <f>D254+C255</f>
        <v>255213</v>
      </c>
    </row>
  </sheetData>
  <mergeCells count="22">
    <mergeCell ref="B1:F1"/>
    <mergeCell ref="B2:B3"/>
    <mergeCell ref="C2:C3"/>
    <mergeCell ref="L4:M4"/>
    <mergeCell ref="B41:B42"/>
    <mergeCell ref="C41:C42"/>
    <mergeCell ref="K43:L43"/>
    <mergeCell ref="B77:B78"/>
    <mergeCell ref="C77:C78"/>
    <mergeCell ref="K78:L78"/>
    <mergeCell ref="B115:B116"/>
    <mergeCell ref="C115:C116"/>
    <mergeCell ref="A152:B155"/>
    <mergeCell ref="C152:E153"/>
    <mergeCell ref="H152:I155"/>
    <mergeCell ref="J152:L153"/>
    <mergeCell ref="O152:P155"/>
    <mergeCell ref="Q152:S153"/>
    <mergeCell ref="C154:C155"/>
    <mergeCell ref="J154:J155"/>
    <mergeCell ref="Q154:Q155"/>
    <mergeCell ref="K117:L117"/>
  </mergeCells>
  <phoneticPr fontId="19" type="noConversion"/>
  <conditionalFormatting sqref="A4:F4 I4:I34 A5:B34">
    <cfRule type="expression" dxfId="130" priority="7">
      <formula>ISODD(ROW())</formula>
    </cfRule>
  </conditionalFormatting>
  <conditionalFormatting sqref="A43:F43 H43:I43 H79:I79 A79:F109 H117:I117">
    <cfRule type="expression" dxfId="129" priority="10">
      <formula>ISEVEN(ROW())</formula>
    </cfRule>
  </conditionalFormatting>
  <conditionalFormatting sqref="A156:F186 A225:B255">
    <cfRule type="expression" dxfId="128" priority="3">
      <formula>ISODD(ROW())</formula>
    </cfRule>
  </conditionalFormatting>
  <conditionalFormatting sqref="A44:I73 G80:I104 G106:I109 A117:F147 G118:I142 G144:I147">
    <cfRule type="expression" dxfId="127" priority="8">
      <formula>ISEVEN(ROW())</formula>
    </cfRule>
  </conditionalFormatting>
  <conditionalFormatting sqref="C5:F5">
    <cfRule type="expression" dxfId="126" priority="9">
      <formula>ISEVEN(ROW())</formula>
    </cfRule>
  </conditionalFormatting>
  <conditionalFormatting sqref="C6:H21 C22:G22 C23:H34">
    <cfRule type="expression" dxfId="125" priority="4">
      <formula>ISODD(ROW())</formula>
    </cfRule>
  </conditionalFormatting>
  <conditionalFormatting sqref="G5">
    <cfRule type="expression" dxfId="124" priority="5">
      <formula>ISODD(ROW())</formula>
    </cfRule>
  </conditionalFormatting>
  <conditionalFormatting sqref="H4:H5">
    <cfRule type="expression" dxfId="123" priority="6">
      <formula>ISODD(ROW())</formula>
    </cfRule>
  </conditionalFormatting>
  <conditionalFormatting sqref="H156:M186">
    <cfRule type="expression" dxfId="122" priority="2">
      <formula>ISODD(ROW())</formula>
    </cfRule>
  </conditionalFormatting>
  <conditionalFormatting sqref="M2 O3:O16 O18:O21 O27:O32 O34:O35 K37:K39 O41:O43 O49:O60 M55:M59 M65:M68 O65:O74 O77:O110 M111:M151 G154:G186">
    <cfRule type="cellIs" dxfId="121" priority="11" operator="greaterThan">
      <formula>0</formula>
    </cfRule>
    <cfRule type="cellIs" dxfId="120" priority="12" operator="lessThan">
      <formula>0</formula>
    </cfRule>
  </conditionalFormatting>
  <conditionalFormatting sqref="O156:T186">
    <cfRule type="expression" dxfId="119" priority="1">
      <formula>ISODD(ROW())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22B41-8895-4AC0-9024-C958DE015C25}">
  <sheetPr>
    <tabColor theme="9" tint="0.39997558519241921"/>
  </sheetPr>
  <dimension ref="A1:T255"/>
  <sheetViews>
    <sheetView topLeftCell="A162" workbookViewId="0">
      <selection activeCell="E190" sqref="E190"/>
    </sheetView>
  </sheetViews>
  <sheetFormatPr defaultColWidth="9.1796875" defaultRowHeight="15" customHeight="1" x14ac:dyDescent="0.35"/>
  <cols>
    <col min="1" max="1" width="18.453125" customWidth="1"/>
    <col min="2" max="2" width="21" customWidth="1"/>
    <col min="3" max="3" width="16.453125" customWidth="1"/>
    <col min="4" max="4" width="16.1796875" customWidth="1"/>
    <col min="5" max="5" width="18.81640625" customWidth="1"/>
    <col min="6" max="6" width="19.54296875" customWidth="1"/>
    <col min="7" max="7" width="16.453125" customWidth="1"/>
    <col min="8" max="8" width="18.1796875" customWidth="1"/>
    <col min="9" max="9" width="16.26953125" bestFit="1" customWidth="1"/>
    <col min="10" max="10" width="15.81640625" bestFit="1" customWidth="1"/>
    <col min="11" max="11" width="17.81640625" customWidth="1"/>
    <col min="12" max="12" width="17.54296875" bestFit="1" customWidth="1"/>
    <col min="13" max="13" width="17.453125" customWidth="1"/>
    <col min="14" max="14" width="14.81640625" customWidth="1"/>
    <col min="15" max="15" width="18.453125" customWidth="1"/>
    <col min="16" max="16" width="12.54296875" customWidth="1"/>
    <col min="17" max="17" width="15.1796875" customWidth="1"/>
    <col min="18" max="18" width="9.26953125" bestFit="1" customWidth="1"/>
    <col min="19" max="19" width="17.81640625" bestFit="1" customWidth="1"/>
    <col min="20" max="20" width="17.453125" bestFit="1" customWidth="1"/>
  </cols>
  <sheetData>
    <row r="1" spans="1:15" ht="17.5" customHeight="1" x14ac:dyDescent="0.45">
      <c r="A1" s="262"/>
      <c r="B1" s="930" t="s">
        <v>0</v>
      </c>
      <c r="C1" s="930"/>
      <c r="D1" s="930"/>
      <c r="E1" s="930"/>
      <c r="F1" s="930"/>
      <c r="G1" s="262"/>
      <c r="H1" s="262"/>
      <c r="I1" s="262"/>
      <c r="J1" s="262"/>
      <c r="K1" s="262"/>
      <c r="L1" s="262"/>
      <c r="M1" s="262"/>
    </row>
    <row r="2" spans="1:15" ht="15.65" customHeight="1" thickBot="1" x14ac:dyDescent="0.45">
      <c r="A2" s="348"/>
      <c r="B2" s="926" t="s">
        <v>1</v>
      </c>
      <c r="C2" s="928" t="s">
        <v>0</v>
      </c>
      <c r="D2" s="298" t="s">
        <v>2</v>
      </c>
      <c r="E2" s="184" t="s">
        <v>3</v>
      </c>
      <c r="F2" s="772" t="s">
        <v>4</v>
      </c>
      <c r="G2" s="774" t="s">
        <v>143</v>
      </c>
      <c r="H2" s="186" t="s">
        <v>6</v>
      </c>
      <c r="I2" s="910" t="s">
        <v>7</v>
      </c>
      <c r="K2" s="349"/>
      <c r="L2" s="349"/>
      <c r="M2" s="349"/>
      <c r="O2" s="349"/>
    </row>
    <row r="3" spans="1:15" ht="30.75" customHeight="1" x14ac:dyDescent="0.4">
      <c r="A3" s="497"/>
      <c r="B3" s="927"/>
      <c r="C3" s="929"/>
      <c r="D3" s="299" t="s">
        <v>0</v>
      </c>
      <c r="E3" s="498" t="s">
        <v>0</v>
      </c>
      <c r="F3" s="772" t="s">
        <v>0</v>
      </c>
      <c r="G3" s="664" t="s">
        <v>0</v>
      </c>
      <c r="H3" s="665" t="s">
        <v>8</v>
      </c>
      <c r="I3" s="666" t="s">
        <v>9</v>
      </c>
      <c r="K3" s="262"/>
      <c r="L3" s="262"/>
      <c r="M3" s="262"/>
      <c r="N3" s="262"/>
      <c r="O3" s="262"/>
    </row>
    <row r="4" spans="1:15" ht="14.5" x14ac:dyDescent="0.35">
      <c r="A4" s="192" t="s">
        <v>16</v>
      </c>
      <c r="B4" s="193">
        <v>45717</v>
      </c>
      <c r="C4" s="194">
        <v>1553</v>
      </c>
      <c r="D4" s="195">
        <v>50</v>
      </c>
      <c r="E4" s="286">
        <v>0</v>
      </c>
      <c r="F4" s="673">
        <v>3</v>
      </c>
      <c r="G4" s="858">
        <v>1</v>
      </c>
      <c r="H4" s="843" t="s">
        <v>246</v>
      </c>
      <c r="I4" s="733">
        <v>13</v>
      </c>
      <c r="K4" s="262"/>
      <c r="L4" s="923" t="s">
        <v>12</v>
      </c>
      <c r="M4" s="923"/>
      <c r="N4" s="262"/>
      <c r="O4" s="262"/>
    </row>
    <row r="5" spans="1:15" ht="14.5" x14ac:dyDescent="0.35">
      <c r="A5" s="192" t="s">
        <v>18</v>
      </c>
      <c r="B5" s="193">
        <v>45718</v>
      </c>
      <c r="C5" s="200"/>
      <c r="D5" s="201"/>
      <c r="E5" s="557"/>
      <c r="F5" s="859"/>
      <c r="G5" s="674"/>
      <c r="H5" s="736"/>
      <c r="I5" s="734"/>
      <c r="K5" s="262"/>
      <c r="L5" s="503" t="s">
        <v>15</v>
      </c>
      <c r="M5" s="365">
        <v>65000</v>
      </c>
      <c r="N5" s="262"/>
      <c r="O5" s="262"/>
    </row>
    <row r="6" spans="1:15" ht="14.5" x14ac:dyDescent="0.35">
      <c r="A6" s="192" t="s">
        <v>20</v>
      </c>
      <c r="B6" s="193">
        <v>45719</v>
      </c>
      <c r="C6" s="205">
        <v>3342</v>
      </c>
      <c r="D6" s="206">
        <v>18</v>
      </c>
      <c r="E6" s="612">
        <v>0</v>
      </c>
      <c r="F6" s="619">
        <v>1</v>
      </c>
      <c r="G6" s="686">
        <v>2</v>
      </c>
      <c r="H6" s="844" t="s">
        <v>247</v>
      </c>
      <c r="I6" s="735">
        <v>18</v>
      </c>
      <c r="K6" s="262"/>
      <c r="L6" s="504" t="s">
        <v>17</v>
      </c>
      <c r="M6" s="371">
        <v>2000</v>
      </c>
      <c r="N6" s="262"/>
      <c r="O6" s="262"/>
    </row>
    <row r="7" spans="1:15" ht="14.5" x14ac:dyDescent="0.35">
      <c r="A7" s="192" t="s">
        <v>22</v>
      </c>
      <c r="B7" s="193">
        <v>45720</v>
      </c>
      <c r="C7" s="209">
        <v>3271</v>
      </c>
      <c r="D7" s="210">
        <v>87</v>
      </c>
      <c r="E7" s="287">
        <v>0</v>
      </c>
      <c r="F7" s="243">
        <v>1</v>
      </c>
      <c r="G7" s="686">
        <v>1</v>
      </c>
      <c r="H7" s="844" t="s">
        <v>248</v>
      </c>
      <c r="I7" s="735">
        <v>15</v>
      </c>
      <c r="K7" s="262"/>
      <c r="L7" s="515" t="s">
        <v>19</v>
      </c>
      <c r="M7" s="376">
        <v>25</v>
      </c>
      <c r="N7" s="262"/>
      <c r="O7" s="262"/>
    </row>
    <row r="8" spans="1:15" ht="14.5" x14ac:dyDescent="0.35">
      <c r="A8" s="192" t="s">
        <v>24</v>
      </c>
      <c r="B8" s="193">
        <v>45721</v>
      </c>
      <c r="C8" s="205">
        <v>2215</v>
      </c>
      <c r="D8" s="206">
        <v>52</v>
      </c>
      <c r="E8" s="612">
        <v>0</v>
      </c>
      <c r="F8" s="670">
        <v>0</v>
      </c>
      <c r="G8" s="675">
        <v>5</v>
      </c>
      <c r="H8" s="844" t="s">
        <v>249</v>
      </c>
      <c r="I8" s="735">
        <v>21</v>
      </c>
      <c r="K8" s="262"/>
      <c r="L8" s="836"/>
      <c r="M8" s="837"/>
      <c r="N8" s="262"/>
      <c r="O8" s="262"/>
    </row>
    <row r="9" spans="1:15" ht="14.5" x14ac:dyDescent="0.35">
      <c r="A9" s="192" t="s">
        <v>10</v>
      </c>
      <c r="B9" s="193">
        <v>45722</v>
      </c>
      <c r="C9" s="212">
        <v>1743</v>
      </c>
      <c r="D9" s="213">
        <v>0</v>
      </c>
      <c r="E9" s="611">
        <v>0</v>
      </c>
      <c r="F9" s="672">
        <v>0</v>
      </c>
      <c r="G9" s="676">
        <v>1</v>
      </c>
      <c r="H9" s="845" t="s">
        <v>250</v>
      </c>
      <c r="I9" s="734">
        <v>12</v>
      </c>
      <c r="K9" s="262"/>
      <c r="N9" s="262"/>
      <c r="O9" s="262"/>
    </row>
    <row r="10" spans="1:15" ht="14.5" x14ac:dyDescent="0.35">
      <c r="A10" s="192" t="s">
        <v>13</v>
      </c>
      <c r="B10" s="193">
        <v>45723</v>
      </c>
      <c r="C10" s="214">
        <v>2231</v>
      </c>
      <c r="D10" s="195">
        <v>54</v>
      </c>
      <c r="E10" s="615">
        <v>0</v>
      </c>
      <c r="F10" s="246">
        <v>1</v>
      </c>
      <c r="G10" s="254">
        <v>4</v>
      </c>
      <c r="H10" s="736" t="s">
        <v>251</v>
      </c>
      <c r="I10" s="736">
        <v>14</v>
      </c>
      <c r="K10" s="262"/>
      <c r="L10" s="262"/>
      <c r="M10" s="262"/>
      <c r="N10" s="262"/>
      <c r="O10" s="262"/>
    </row>
    <row r="11" spans="1:15" ht="14.5" x14ac:dyDescent="0.35">
      <c r="A11" s="192" t="s">
        <v>16</v>
      </c>
      <c r="B11" s="193">
        <v>45724</v>
      </c>
      <c r="C11" s="217">
        <v>2407</v>
      </c>
      <c r="D11" s="218">
        <v>80</v>
      </c>
      <c r="E11" s="691">
        <v>0</v>
      </c>
      <c r="F11" s="730">
        <v>1</v>
      </c>
      <c r="G11" s="729">
        <v>3</v>
      </c>
      <c r="H11" s="737" t="s">
        <v>252</v>
      </c>
      <c r="I11" s="737">
        <v>20</v>
      </c>
      <c r="K11" s="262"/>
      <c r="L11" s="262"/>
      <c r="M11" s="262"/>
      <c r="N11" s="262"/>
      <c r="O11" s="262"/>
    </row>
    <row r="12" spans="1:15" ht="14.5" x14ac:dyDescent="0.35">
      <c r="A12" s="192" t="s">
        <v>18</v>
      </c>
      <c r="B12" s="193">
        <v>45725</v>
      </c>
      <c r="C12" s="221"/>
      <c r="D12" s="222"/>
      <c r="E12" s="692">
        <v>0</v>
      </c>
      <c r="F12" s="731">
        <v>0</v>
      </c>
      <c r="G12" s="732"/>
      <c r="H12" s="738"/>
      <c r="I12" s="738"/>
      <c r="K12" s="262"/>
      <c r="L12" s="262"/>
      <c r="M12" s="262"/>
      <c r="N12" s="262"/>
      <c r="O12" s="262"/>
    </row>
    <row r="13" spans="1:15" ht="14.5" x14ac:dyDescent="0.35">
      <c r="A13" s="192" t="s">
        <v>20</v>
      </c>
      <c r="B13" s="193">
        <v>45726</v>
      </c>
      <c r="C13" s="225">
        <v>3841</v>
      </c>
      <c r="D13" s="226">
        <v>0</v>
      </c>
      <c r="E13" s="227">
        <v>0</v>
      </c>
      <c r="F13" s="227">
        <v>2</v>
      </c>
      <c r="G13" s="679">
        <v>4</v>
      </c>
      <c r="H13" s="739" t="s">
        <v>253</v>
      </c>
      <c r="I13" s="739">
        <v>21</v>
      </c>
      <c r="K13" s="262"/>
      <c r="L13" s="262"/>
      <c r="M13" s="262"/>
      <c r="N13" s="262"/>
      <c r="O13" s="262"/>
    </row>
    <row r="14" spans="1:15" ht="14.5" x14ac:dyDescent="0.35">
      <c r="A14" s="192" t="s">
        <v>22</v>
      </c>
      <c r="B14" s="193">
        <v>45727</v>
      </c>
      <c r="C14" s="229">
        <v>1136</v>
      </c>
      <c r="D14" s="230">
        <v>0</v>
      </c>
      <c r="E14" s="231">
        <v>0</v>
      </c>
      <c r="F14" s="231">
        <v>0</v>
      </c>
      <c r="G14" s="680">
        <v>2</v>
      </c>
      <c r="H14" s="740" t="s">
        <v>254</v>
      </c>
      <c r="I14" s="740">
        <v>15</v>
      </c>
      <c r="K14" s="262"/>
      <c r="L14" s="262"/>
      <c r="M14" s="262"/>
      <c r="N14" s="262"/>
      <c r="O14" s="262"/>
    </row>
    <row r="15" spans="1:15" ht="14.5" x14ac:dyDescent="0.35">
      <c r="A15" s="192" t="s">
        <v>24</v>
      </c>
      <c r="B15" s="193">
        <v>45728</v>
      </c>
      <c r="C15" s="225">
        <v>2058</v>
      </c>
      <c r="D15" s="226">
        <v>83</v>
      </c>
      <c r="E15" s="227">
        <v>0</v>
      </c>
      <c r="F15" s="227">
        <v>1</v>
      </c>
      <c r="G15" s="679">
        <v>1</v>
      </c>
      <c r="H15" s="846" t="s">
        <v>255</v>
      </c>
      <c r="I15" s="739">
        <v>12</v>
      </c>
      <c r="K15" s="262"/>
      <c r="L15" s="262"/>
      <c r="M15" s="262"/>
      <c r="N15" s="262"/>
      <c r="O15" s="262"/>
    </row>
    <row r="16" spans="1:15" ht="14.5" x14ac:dyDescent="0.35">
      <c r="A16" s="192" t="s">
        <v>10</v>
      </c>
      <c r="B16" s="193">
        <v>45729</v>
      </c>
      <c r="C16" s="233">
        <v>3873</v>
      </c>
      <c r="D16" s="234">
        <v>187</v>
      </c>
      <c r="E16" s="235">
        <v>0</v>
      </c>
      <c r="F16" s="235">
        <v>2</v>
      </c>
      <c r="G16" s="681">
        <v>1</v>
      </c>
      <c r="H16" s="847" t="s">
        <v>256</v>
      </c>
      <c r="I16" s="741">
        <v>21</v>
      </c>
      <c r="K16" s="262"/>
      <c r="L16" s="262"/>
      <c r="M16" s="262"/>
      <c r="N16" s="262"/>
      <c r="O16" s="262"/>
    </row>
    <row r="17" spans="1:15" ht="14.5" x14ac:dyDescent="0.35">
      <c r="A17" s="192" t="s">
        <v>13</v>
      </c>
      <c r="B17" s="193">
        <v>45730</v>
      </c>
      <c r="C17" s="225">
        <v>2414</v>
      </c>
      <c r="D17" s="226">
        <v>87</v>
      </c>
      <c r="E17" s="227">
        <v>0</v>
      </c>
      <c r="F17" s="227">
        <v>2</v>
      </c>
      <c r="G17" s="679">
        <v>2</v>
      </c>
      <c r="H17" s="846" t="s">
        <v>257</v>
      </c>
      <c r="I17" s="739">
        <v>18</v>
      </c>
      <c r="K17" s="262"/>
      <c r="L17" s="262"/>
      <c r="M17" s="262"/>
      <c r="N17" s="262"/>
      <c r="O17" s="262"/>
    </row>
    <row r="18" spans="1:15" ht="14.5" x14ac:dyDescent="0.35">
      <c r="A18" s="192" t="s">
        <v>16</v>
      </c>
      <c r="B18" s="193">
        <v>45731</v>
      </c>
      <c r="C18" s="233">
        <v>2629</v>
      </c>
      <c r="D18" s="195">
        <v>123</v>
      </c>
      <c r="E18" s="215">
        <v>0</v>
      </c>
      <c r="F18" s="215">
        <v>4</v>
      </c>
      <c r="G18" s="682">
        <v>2</v>
      </c>
      <c r="H18" s="848" t="s">
        <v>258</v>
      </c>
      <c r="I18" s="736">
        <v>19</v>
      </c>
      <c r="K18" s="262"/>
      <c r="L18" s="262"/>
      <c r="M18" s="262"/>
      <c r="N18" s="262"/>
      <c r="O18" s="262"/>
    </row>
    <row r="19" spans="1:15" ht="14.5" x14ac:dyDescent="0.35">
      <c r="A19" s="192" t="s">
        <v>18</v>
      </c>
      <c r="B19" s="193">
        <v>45732</v>
      </c>
      <c r="C19" s="209"/>
      <c r="D19" s="213"/>
      <c r="E19" s="203"/>
      <c r="F19" s="203"/>
      <c r="G19" s="676"/>
      <c r="H19" s="845"/>
      <c r="I19" s="734"/>
      <c r="K19" s="262"/>
      <c r="L19" s="262"/>
      <c r="M19" s="262"/>
      <c r="N19" s="262"/>
      <c r="O19" s="262"/>
    </row>
    <row r="20" spans="1:15" ht="14.5" x14ac:dyDescent="0.35">
      <c r="A20" s="192" t="s">
        <v>20</v>
      </c>
      <c r="B20" s="193">
        <v>45733</v>
      </c>
      <c r="C20" s="233">
        <v>3827</v>
      </c>
      <c r="D20" s="234">
        <v>87</v>
      </c>
      <c r="E20" s="215">
        <v>0</v>
      </c>
      <c r="F20" s="215">
        <v>1</v>
      </c>
      <c r="G20" s="682">
        <v>2</v>
      </c>
      <c r="H20" s="848" t="s">
        <v>259</v>
      </c>
      <c r="I20" s="736">
        <v>19</v>
      </c>
      <c r="K20" s="262"/>
      <c r="L20" s="262"/>
      <c r="M20" s="262"/>
      <c r="N20" s="262"/>
      <c r="O20" s="262"/>
    </row>
    <row r="21" spans="1:15" ht="14.5" x14ac:dyDescent="0.35">
      <c r="A21" s="192" t="s">
        <v>22</v>
      </c>
      <c r="B21" s="193">
        <v>45734</v>
      </c>
      <c r="C21" s="237">
        <v>3700</v>
      </c>
      <c r="D21" s="238">
        <v>58</v>
      </c>
      <c r="E21" s="239">
        <v>0</v>
      </c>
      <c r="F21" s="239">
        <v>0</v>
      </c>
      <c r="G21" s="683">
        <v>3</v>
      </c>
      <c r="H21" s="849" t="s">
        <v>260</v>
      </c>
      <c r="I21" s="742">
        <v>14</v>
      </c>
      <c r="K21" s="262"/>
      <c r="L21" s="262"/>
      <c r="M21" s="262"/>
      <c r="N21" s="262"/>
      <c r="O21" s="262"/>
    </row>
    <row r="22" spans="1:15" ht="14.5" x14ac:dyDescent="0.35">
      <c r="A22" s="192" t="s">
        <v>24</v>
      </c>
      <c r="B22" s="193">
        <v>45735</v>
      </c>
      <c r="C22" s="214">
        <v>2186</v>
      </c>
      <c r="D22" s="195">
        <v>29</v>
      </c>
      <c r="E22" s="215">
        <v>0</v>
      </c>
      <c r="F22" s="215">
        <v>0</v>
      </c>
      <c r="G22" s="682">
        <v>2</v>
      </c>
      <c r="H22" s="262" t="s">
        <v>261</v>
      </c>
      <c r="I22" s="736">
        <v>25</v>
      </c>
      <c r="K22" s="262"/>
      <c r="L22" s="262"/>
      <c r="M22" s="262"/>
      <c r="N22" s="262"/>
      <c r="O22" s="262"/>
    </row>
    <row r="23" spans="1:15" ht="14.5" x14ac:dyDescent="0.35">
      <c r="A23" s="192" t="s">
        <v>10</v>
      </c>
      <c r="B23" s="193">
        <v>45736</v>
      </c>
      <c r="C23" s="237">
        <v>1735</v>
      </c>
      <c r="D23" s="238">
        <v>90</v>
      </c>
      <c r="E23" s="239">
        <v>0</v>
      </c>
      <c r="F23" s="239">
        <v>0</v>
      </c>
      <c r="G23" s="683">
        <v>3</v>
      </c>
      <c r="H23" s="848" t="s">
        <v>262</v>
      </c>
      <c r="I23" s="742">
        <v>18</v>
      </c>
      <c r="K23" s="262"/>
      <c r="L23" s="262"/>
      <c r="M23" s="262"/>
      <c r="N23" s="262"/>
      <c r="O23" s="262"/>
    </row>
    <row r="24" spans="1:15" ht="14.5" x14ac:dyDescent="0.35">
      <c r="A24" s="192" t="s">
        <v>13</v>
      </c>
      <c r="B24" s="193">
        <v>45737</v>
      </c>
      <c r="C24" s="205">
        <v>3000</v>
      </c>
      <c r="D24" s="206">
        <v>120</v>
      </c>
      <c r="E24" s="207">
        <v>0</v>
      </c>
      <c r="F24" s="207">
        <v>1</v>
      </c>
      <c r="G24" s="675">
        <v>5</v>
      </c>
      <c r="H24" s="844" t="s">
        <v>263</v>
      </c>
      <c r="I24" s="735">
        <v>22</v>
      </c>
      <c r="K24" s="262"/>
      <c r="L24" s="262"/>
      <c r="M24" s="262"/>
      <c r="N24" s="262"/>
      <c r="O24" s="262"/>
    </row>
    <row r="25" spans="1:15" ht="14.5" x14ac:dyDescent="0.35">
      <c r="A25" s="192" t="s">
        <v>16</v>
      </c>
      <c r="B25" s="193">
        <v>45738</v>
      </c>
      <c r="C25" s="209">
        <v>3702</v>
      </c>
      <c r="D25" s="210">
        <v>280</v>
      </c>
      <c r="E25" s="211">
        <v>0</v>
      </c>
      <c r="F25" s="211">
        <v>1</v>
      </c>
      <c r="G25" s="684">
        <v>5</v>
      </c>
      <c r="H25" s="850" t="s">
        <v>264</v>
      </c>
      <c r="I25" s="743">
        <v>24</v>
      </c>
      <c r="K25" s="262"/>
      <c r="L25" s="262"/>
      <c r="M25" s="262"/>
      <c r="N25" s="262"/>
      <c r="O25" s="262"/>
    </row>
    <row r="26" spans="1:15" ht="14.5" x14ac:dyDescent="0.35">
      <c r="A26" s="192" t="s">
        <v>18</v>
      </c>
      <c r="B26" s="193">
        <v>45739</v>
      </c>
      <c r="C26" s="233"/>
      <c r="D26" s="234"/>
      <c r="E26" s="235"/>
      <c r="F26" s="235"/>
      <c r="G26" s="681"/>
      <c r="H26" s="847"/>
      <c r="I26" s="741"/>
      <c r="K26" s="262"/>
      <c r="L26" s="262"/>
      <c r="M26" s="262"/>
      <c r="N26" s="262"/>
      <c r="O26" s="262"/>
    </row>
    <row r="27" spans="1:15" ht="14.5" x14ac:dyDescent="0.35">
      <c r="A27" s="192" t="s">
        <v>20</v>
      </c>
      <c r="B27" s="193">
        <v>45740</v>
      </c>
      <c r="C27" s="237">
        <v>1890</v>
      </c>
      <c r="D27" s="238">
        <v>25</v>
      </c>
      <c r="E27" s="239">
        <v>0</v>
      </c>
      <c r="F27" s="239">
        <v>2</v>
      </c>
      <c r="G27" s="683">
        <v>2</v>
      </c>
      <c r="H27" s="849" t="s">
        <v>265</v>
      </c>
      <c r="I27" s="742">
        <v>23</v>
      </c>
      <c r="K27" s="262"/>
      <c r="L27" s="262"/>
      <c r="M27" s="262"/>
      <c r="N27" s="262"/>
      <c r="O27" s="262"/>
    </row>
    <row r="28" spans="1:15" ht="14.5" x14ac:dyDescent="0.35">
      <c r="A28" s="192" t="s">
        <v>22</v>
      </c>
      <c r="B28" s="193">
        <v>45741</v>
      </c>
      <c r="C28" s="233">
        <v>1720</v>
      </c>
      <c r="D28" s="234">
        <v>29</v>
      </c>
      <c r="E28" s="235">
        <v>0</v>
      </c>
      <c r="F28" s="235">
        <v>1</v>
      </c>
      <c r="G28" s="681">
        <v>3</v>
      </c>
      <c r="H28" s="847" t="s">
        <v>266</v>
      </c>
      <c r="I28" s="741">
        <v>7</v>
      </c>
      <c r="K28" s="262"/>
      <c r="L28" s="262"/>
      <c r="M28" s="262"/>
      <c r="N28" s="262"/>
      <c r="O28" s="262"/>
    </row>
    <row r="29" spans="1:15" ht="14.5" x14ac:dyDescent="0.35">
      <c r="A29" s="192" t="s">
        <v>24</v>
      </c>
      <c r="B29" s="193">
        <v>45742</v>
      </c>
      <c r="C29" s="209">
        <v>3024</v>
      </c>
      <c r="D29" s="242">
        <v>83</v>
      </c>
      <c r="E29" s="243">
        <v>0</v>
      </c>
      <c r="F29" s="244">
        <v>1</v>
      </c>
      <c r="G29" s="684">
        <v>3</v>
      </c>
      <c r="H29" s="850" t="s">
        <v>267</v>
      </c>
      <c r="I29" s="743">
        <v>21</v>
      </c>
      <c r="K29" s="262"/>
      <c r="L29" s="262"/>
      <c r="M29" s="262"/>
      <c r="N29" s="262"/>
      <c r="O29" s="262"/>
    </row>
    <row r="30" spans="1:15" ht="14.5" x14ac:dyDescent="0.35">
      <c r="A30" s="192" t="s">
        <v>10</v>
      </c>
      <c r="B30" s="193">
        <v>45743</v>
      </c>
      <c r="C30" s="214">
        <v>3234</v>
      </c>
      <c r="D30" s="245">
        <v>87</v>
      </c>
      <c r="E30" s="246">
        <v>0</v>
      </c>
      <c r="F30" s="247">
        <v>3</v>
      </c>
      <c r="G30" s="246">
        <v>1</v>
      </c>
      <c r="H30" s="848" t="s">
        <v>267</v>
      </c>
      <c r="I30" s="736">
        <v>19</v>
      </c>
      <c r="K30" s="262"/>
      <c r="L30" s="262"/>
      <c r="M30" s="508"/>
      <c r="N30" s="262"/>
      <c r="O30" s="262"/>
    </row>
    <row r="31" spans="1:15" ht="14.5" x14ac:dyDescent="0.35">
      <c r="A31" s="192" t="s">
        <v>13</v>
      </c>
      <c r="B31" s="193">
        <v>45744</v>
      </c>
      <c r="C31" s="214">
        <v>2640</v>
      </c>
      <c r="D31" s="249">
        <v>65</v>
      </c>
      <c r="E31" s="246">
        <v>0</v>
      </c>
      <c r="F31" s="247">
        <v>1</v>
      </c>
      <c r="G31" s="682">
        <v>1</v>
      </c>
      <c r="H31" s="848" t="s">
        <v>268</v>
      </c>
      <c r="I31" s="736">
        <v>15</v>
      </c>
      <c r="K31" s="262"/>
      <c r="L31" s="262"/>
      <c r="M31" s="508"/>
      <c r="N31" s="262"/>
      <c r="O31" s="262"/>
    </row>
    <row r="32" spans="1:15" ht="14.5" x14ac:dyDescent="0.35">
      <c r="A32" s="192" t="s">
        <v>16</v>
      </c>
      <c r="B32" s="193">
        <v>45745</v>
      </c>
      <c r="C32" s="214">
        <v>2883</v>
      </c>
      <c r="D32" s="249">
        <v>145</v>
      </c>
      <c r="E32" s="246">
        <v>0</v>
      </c>
      <c r="F32" s="247">
        <v>1</v>
      </c>
      <c r="G32" s="682">
        <v>1</v>
      </c>
      <c r="H32" s="848" t="s">
        <v>269</v>
      </c>
      <c r="I32" s="736">
        <v>15</v>
      </c>
      <c r="K32" s="262"/>
      <c r="L32" s="262"/>
      <c r="M32" s="508"/>
      <c r="N32" s="262"/>
      <c r="O32" s="262"/>
    </row>
    <row r="33" spans="1:15" ht="14.5" x14ac:dyDescent="0.35">
      <c r="A33" s="192" t="s">
        <v>18</v>
      </c>
      <c r="B33" s="193">
        <v>45746</v>
      </c>
      <c r="C33" s="252"/>
      <c r="D33" s="253"/>
      <c r="E33" s="246"/>
      <c r="F33" s="254"/>
      <c r="G33" s="682"/>
      <c r="H33" s="848"/>
      <c r="I33" s="736"/>
      <c r="K33" s="262"/>
      <c r="L33" s="262"/>
      <c r="M33" s="262"/>
      <c r="N33" s="262"/>
      <c r="O33" s="262"/>
    </row>
    <row r="34" spans="1:15" thickBot="1" x14ac:dyDescent="0.4">
      <c r="A34" s="192" t="s">
        <v>20</v>
      </c>
      <c r="B34" s="193">
        <v>45747</v>
      </c>
      <c r="C34" s="252">
        <v>2106</v>
      </c>
      <c r="D34" s="252">
        <v>116</v>
      </c>
      <c r="E34" s="246">
        <v>0</v>
      </c>
      <c r="F34" s="246">
        <v>3</v>
      </c>
      <c r="G34" s="685">
        <v>3</v>
      </c>
      <c r="H34" s="848" t="s">
        <v>270</v>
      </c>
      <c r="I34" s="736">
        <v>19</v>
      </c>
      <c r="K34" s="262"/>
      <c r="L34" s="262"/>
      <c r="M34" s="508"/>
      <c r="N34" s="262"/>
      <c r="O34" s="262"/>
    </row>
    <row r="35" spans="1:15" thickBot="1" x14ac:dyDescent="0.4">
      <c r="A35" s="257"/>
      <c r="B35" s="651"/>
      <c r="C35" s="653">
        <f t="shared" ref="C35:F35" si="0">SUM(C4:C34)</f>
        <v>68360</v>
      </c>
      <c r="D35" s="654">
        <f t="shared" si="0"/>
        <v>2035</v>
      </c>
      <c r="E35" s="655">
        <f t="shared" si="0"/>
        <v>0</v>
      </c>
      <c r="F35" s="884">
        <f t="shared" si="0"/>
        <v>33</v>
      </c>
      <c r="G35" s="885">
        <f>SUM(G4:G34)</f>
        <v>63</v>
      </c>
      <c r="H35" s="886" t="s">
        <v>144</v>
      </c>
      <c r="I35" s="887"/>
      <c r="K35" s="262"/>
      <c r="L35" s="262"/>
      <c r="M35" s="262"/>
      <c r="N35" s="262"/>
      <c r="O35" s="262"/>
    </row>
    <row r="36" spans="1:15" ht="14.5" x14ac:dyDescent="0.35">
      <c r="A36" s="262"/>
      <c r="B36" s="474"/>
      <c r="C36" s="509"/>
      <c r="D36" s="510"/>
      <c r="E36" s="475"/>
      <c r="F36" s="652"/>
      <c r="G36" s="262"/>
      <c r="H36" s="262"/>
      <c r="I36" s="262"/>
      <c r="J36" s="262"/>
      <c r="K36" s="262"/>
      <c r="L36" s="262"/>
      <c r="M36" s="262"/>
    </row>
    <row r="37" spans="1:15" ht="14.5" x14ac:dyDescent="0.35">
      <c r="A37" s="262"/>
      <c r="B37" s="474"/>
      <c r="C37" s="508"/>
      <c r="D37" s="508"/>
      <c r="E37" s="475"/>
      <c r="F37" s="511"/>
      <c r="G37" s="262"/>
      <c r="H37" s="262"/>
      <c r="I37" s="262"/>
      <c r="J37" s="262"/>
      <c r="K37" s="262"/>
      <c r="L37" s="262"/>
      <c r="M37" s="262"/>
    </row>
    <row r="38" spans="1:15" ht="14.5" x14ac:dyDescent="0.35">
      <c r="A38" s="262"/>
      <c r="B38" s="474"/>
      <c r="C38" s="475"/>
      <c r="D38" s="508"/>
      <c r="E38" s="475"/>
      <c r="F38" s="511"/>
      <c r="G38" s="262"/>
      <c r="H38" s="262"/>
      <c r="I38" s="262"/>
      <c r="J38" s="262"/>
      <c r="K38" s="262"/>
      <c r="L38" s="262"/>
      <c r="M38" s="262"/>
    </row>
    <row r="39" spans="1:15" ht="14.5" x14ac:dyDescent="0.35">
      <c r="A39" s="262"/>
      <c r="B39" s="474"/>
      <c r="C39" s="508"/>
      <c r="D39" s="508"/>
      <c r="E39" s="508"/>
      <c r="F39" s="262"/>
      <c r="G39" s="262"/>
      <c r="H39" s="262"/>
      <c r="I39" s="262"/>
      <c r="J39" s="262"/>
      <c r="K39" s="262"/>
      <c r="L39" s="262"/>
      <c r="M39" s="262"/>
    </row>
    <row r="40" spans="1:15" ht="18.5" x14ac:dyDescent="0.45">
      <c r="A40" s="262"/>
      <c r="B40" s="474"/>
      <c r="C40" s="508"/>
      <c r="D40" s="512"/>
      <c r="E40" s="508"/>
      <c r="F40" s="262"/>
      <c r="G40" s="262"/>
      <c r="H40" s="262"/>
      <c r="I40" s="262"/>
      <c r="J40" s="262"/>
      <c r="K40" s="262"/>
      <c r="L40" s="262"/>
      <c r="M40" s="262"/>
    </row>
    <row r="41" spans="1:15" ht="15.65" customHeight="1" thickBot="1" x14ac:dyDescent="0.45">
      <c r="A41" s="348"/>
      <c r="B41" s="931" t="s">
        <v>37</v>
      </c>
      <c r="C41" s="928" t="s">
        <v>0</v>
      </c>
      <c r="D41" s="298" t="s">
        <v>2</v>
      </c>
      <c r="E41" s="184" t="s">
        <v>3</v>
      </c>
      <c r="F41" s="772" t="s">
        <v>4</v>
      </c>
      <c r="G41" s="774" t="s">
        <v>143</v>
      </c>
      <c r="H41" s="186" t="s">
        <v>6</v>
      </c>
      <c r="I41" s="773" t="s">
        <v>7</v>
      </c>
      <c r="M41" s="349"/>
      <c r="O41" s="349"/>
    </row>
    <row r="42" spans="1:15" ht="29.25" customHeight="1" x14ac:dyDescent="0.4">
      <c r="A42" s="497"/>
      <c r="B42" s="932"/>
      <c r="C42" s="929"/>
      <c r="D42" s="299" t="s">
        <v>0</v>
      </c>
      <c r="E42" s="188" t="s">
        <v>0</v>
      </c>
      <c r="F42" s="772" t="s">
        <v>0</v>
      </c>
      <c r="G42" s="664" t="s">
        <v>0</v>
      </c>
      <c r="H42" s="665" t="s">
        <v>8</v>
      </c>
      <c r="I42" s="666" t="s">
        <v>9</v>
      </c>
      <c r="M42" s="262"/>
      <c r="O42" s="262"/>
    </row>
    <row r="43" spans="1:15" ht="14.5" x14ac:dyDescent="0.35">
      <c r="A43" s="192" t="s">
        <v>16</v>
      </c>
      <c r="B43" s="193">
        <v>45717</v>
      </c>
      <c r="C43" s="194">
        <v>2232</v>
      </c>
      <c r="D43" s="195">
        <v>245</v>
      </c>
      <c r="E43" s="286">
        <v>0</v>
      </c>
      <c r="F43" s="855">
        <v>0</v>
      </c>
      <c r="G43" s="727">
        <v>7</v>
      </c>
      <c r="H43" s="869" t="s">
        <v>271</v>
      </c>
      <c r="I43" s="744">
        <v>25</v>
      </c>
      <c r="K43" s="923" t="s">
        <v>12</v>
      </c>
      <c r="L43" s="923"/>
      <c r="M43" s="262"/>
      <c r="O43" s="262"/>
    </row>
    <row r="44" spans="1:15" ht="14.5" x14ac:dyDescent="0.35">
      <c r="A44" s="192" t="s">
        <v>18</v>
      </c>
      <c r="B44" s="193">
        <v>45718</v>
      </c>
      <c r="C44" s="212"/>
      <c r="D44" s="213"/>
      <c r="E44" s="203"/>
      <c r="F44" s="676"/>
      <c r="G44" s="690"/>
      <c r="H44" s="736"/>
      <c r="I44" s="745"/>
      <c r="K44" s="513" t="s">
        <v>15</v>
      </c>
      <c r="L44" s="409">
        <v>45000</v>
      </c>
      <c r="M44" s="262"/>
      <c r="O44" s="262"/>
    </row>
    <row r="45" spans="1:15" ht="14.5" x14ac:dyDescent="0.35">
      <c r="A45" s="192" t="s">
        <v>20</v>
      </c>
      <c r="B45" s="193">
        <v>45719</v>
      </c>
      <c r="C45" s="205">
        <v>1945</v>
      </c>
      <c r="D45" s="206">
        <v>300</v>
      </c>
      <c r="E45" s="207">
        <v>1</v>
      </c>
      <c r="F45" s="675">
        <v>0</v>
      </c>
      <c r="G45" s="507">
        <v>5</v>
      </c>
      <c r="H45" s="735" t="s">
        <v>272</v>
      </c>
      <c r="I45" s="746">
        <v>17</v>
      </c>
      <c r="K45" s="504" t="s">
        <v>17</v>
      </c>
      <c r="L45" s="411">
        <v>2000</v>
      </c>
      <c r="M45" s="262"/>
      <c r="O45" s="262"/>
    </row>
    <row r="46" spans="1:15" ht="14.5" x14ac:dyDescent="0.35">
      <c r="A46" s="192" t="s">
        <v>22</v>
      </c>
      <c r="B46" s="193">
        <v>45720</v>
      </c>
      <c r="C46" s="209">
        <v>2496</v>
      </c>
      <c r="D46" s="210">
        <v>285</v>
      </c>
      <c r="E46" s="211">
        <v>0</v>
      </c>
      <c r="F46" s="684">
        <v>2</v>
      </c>
      <c r="G46" s="279">
        <v>3</v>
      </c>
      <c r="H46" s="743" t="s">
        <v>273</v>
      </c>
      <c r="I46" s="747">
        <v>14</v>
      </c>
      <c r="K46" s="515" t="s">
        <v>19</v>
      </c>
      <c r="L46" s="413">
        <v>15</v>
      </c>
      <c r="M46" s="262"/>
      <c r="O46" s="262"/>
    </row>
    <row r="47" spans="1:15" ht="14.5" x14ac:dyDescent="0.35">
      <c r="A47" s="192" t="s">
        <v>24</v>
      </c>
      <c r="B47" s="193">
        <v>45721</v>
      </c>
      <c r="C47" s="205">
        <v>4650</v>
      </c>
      <c r="D47" s="206">
        <v>0</v>
      </c>
      <c r="E47" s="207">
        <v>0</v>
      </c>
      <c r="F47" s="675">
        <v>0</v>
      </c>
      <c r="G47" s="507">
        <v>3</v>
      </c>
      <c r="H47" s="735" t="s">
        <v>274</v>
      </c>
      <c r="I47" s="746">
        <v>16</v>
      </c>
      <c r="K47" s="838"/>
      <c r="L47" s="839"/>
      <c r="M47" s="262"/>
      <c r="O47" s="262"/>
    </row>
    <row r="48" spans="1:15" ht="14.5" x14ac:dyDescent="0.35">
      <c r="A48" s="192" t="s">
        <v>10</v>
      </c>
      <c r="B48" s="193">
        <v>45722</v>
      </c>
      <c r="C48" s="212">
        <v>1954</v>
      </c>
      <c r="D48" s="213">
        <v>0</v>
      </c>
      <c r="E48" s="203">
        <v>0</v>
      </c>
      <c r="F48" s="676">
        <v>0</v>
      </c>
      <c r="G48" s="690">
        <v>0</v>
      </c>
      <c r="H48" s="734" t="s">
        <v>275</v>
      </c>
      <c r="I48" s="745">
        <v>14</v>
      </c>
      <c r="K48" s="262"/>
      <c r="L48" s="262"/>
      <c r="M48" s="262"/>
      <c r="O48" s="262"/>
    </row>
    <row r="49" spans="1:15" ht="14.5" x14ac:dyDescent="0.35">
      <c r="A49" s="192" t="s">
        <v>13</v>
      </c>
      <c r="B49" s="193">
        <v>45723</v>
      </c>
      <c r="C49" s="214">
        <v>1997</v>
      </c>
      <c r="D49" s="195">
        <v>25</v>
      </c>
      <c r="E49" s="215">
        <v>0</v>
      </c>
      <c r="F49" s="682">
        <v>0</v>
      </c>
      <c r="G49" s="247">
        <v>2</v>
      </c>
      <c r="H49" s="736" t="s">
        <v>276</v>
      </c>
      <c r="I49" s="748">
        <v>7</v>
      </c>
      <c r="K49" s="262"/>
      <c r="L49" s="262"/>
      <c r="M49" s="262"/>
      <c r="O49" s="262"/>
    </row>
    <row r="50" spans="1:15" ht="14.5" x14ac:dyDescent="0.35">
      <c r="A50" s="192" t="s">
        <v>16</v>
      </c>
      <c r="B50" s="193">
        <v>45724</v>
      </c>
      <c r="C50" s="217">
        <v>3171</v>
      </c>
      <c r="D50" s="218">
        <v>251</v>
      </c>
      <c r="E50" s="219">
        <v>0</v>
      </c>
      <c r="F50" s="677">
        <v>0</v>
      </c>
      <c r="G50" s="854">
        <v>12</v>
      </c>
      <c r="H50" s="737" t="s">
        <v>277</v>
      </c>
      <c r="I50" s="749">
        <v>20</v>
      </c>
      <c r="K50" s="262"/>
      <c r="L50" s="262"/>
      <c r="M50" s="262"/>
      <c r="O50" s="262"/>
    </row>
    <row r="51" spans="1:15" ht="14.5" x14ac:dyDescent="0.35">
      <c r="A51" s="192" t="s">
        <v>18</v>
      </c>
      <c r="B51" s="193">
        <v>45725</v>
      </c>
      <c r="C51" s="221"/>
      <c r="D51" s="222"/>
      <c r="E51" s="223"/>
      <c r="F51" s="223"/>
      <c r="G51" s="692"/>
      <c r="H51" s="738"/>
      <c r="I51" s="750"/>
      <c r="K51" s="262"/>
      <c r="L51" s="262"/>
      <c r="M51" s="262"/>
      <c r="O51" s="262"/>
    </row>
    <row r="52" spans="1:15" ht="14.5" x14ac:dyDescent="0.35">
      <c r="A52" s="192" t="s">
        <v>20</v>
      </c>
      <c r="B52" s="193">
        <v>45726</v>
      </c>
      <c r="C52" s="225">
        <v>1552</v>
      </c>
      <c r="D52" s="226">
        <v>150</v>
      </c>
      <c r="E52" s="227">
        <v>0</v>
      </c>
      <c r="F52" s="227">
        <v>0</v>
      </c>
      <c r="G52" s="693">
        <v>5</v>
      </c>
      <c r="H52" s="739" t="s">
        <v>278</v>
      </c>
      <c r="I52" s="751">
        <v>14</v>
      </c>
      <c r="K52" s="262"/>
      <c r="L52" s="262"/>
      <c r="M52" s="262"/>
      <c r="O52" s="262"/>
    </row>
    <row r="53" spans="1:15" ht="14.5" x14ac:dyDescent="0.35">
      <c r="A53" s="192" t="s">
        <v>22</v>
      </c>
      <c r="B53" s="193">
        <v>45727</v>
      </c>
      <c r="C53" s="229">
        <v>1091</v>
      </c>
      <c r="D53" s="230">
        <v>55</v>
      </c>
      <c r="E53" s="231">
        <v>0</v>
      </c>
      <c r="F53" s="231">
        <v>0</v>
      </c>
      <c r="G53" s="694">
        <v>3</v>
      </c>
      <c r="H53" s="740" t="s">
        <v>279</v>
      </c>
      <c r="I53" s="752">
        <v>10</v>
      </c>
      <c r="K53" s="262"/>
      <c r="L53" s="262"/>
      <c r="M53" s="262"/>
      <c r="O53" s="262"/>
    </row>
    <row r="54" spans="1:15" ht="14.5" x14ac:dyDescent="0.35">
      <c r="A54" s="192" t="s">
        <v>24</v>
      </c>
      <c r="B54" s="193">
        <v>45728</v>
      </c>
      <c r="C54" s="225">
        <v>2123</v>
      </c>
      <c r="D54" s="226">
        <v>25</v>
      </c>
      <c r="E54" s="227">
        <v>0</v>
      </c>
      <c r="F54" s="227">
        <v>0</v>
      </c>
      <c r="G54" s="693">
        <v>2</v>
      </c>
      <c r="H54" s="739" t="s">
        <v>280</v>
      </c>
      <c r="I54" s="751">
        <v>15</v>
      </c>
      <c r="K54" s="262"/>
      <c r="L54" s="262"/>
      <c r="M54" s="262"/>
      <c r="O54" s="262"/>
    </row>
    <row r="55" spans="1:15" ht="14.5" x14ac:dyDescent="0.35">
      <c r="A55" s="192" t="s">
        <v>10</v>
      </c>
      <c r="B55" s="193">
        <v>45729</v>
      </c>
      <c r="C55" s="233">
        <v>1204</v>
      </c>
      <c r="D55" s="234">
        <v>0</v>
      </c>
      <c r="E55" s="235">
        <v>0</v>
      </c>
      <c r="F55" s="235">
        <v>0</v>
      </c>
      <c r="G55" s="481">
        <v>1</v>
      </c>
      <c r="H55" s="741" t="s">
        <v>278</v>
      </c>
      <c r="I55" s="753">
        <v>13</v>
      </c>
      <c r="K55" s="262"/>
      <c r="L55" s="262"/>
      <c r="M55" s="262"/>
      <c r="O55" s="262"/>
    </row>
    <row r="56" spans="1:15" ht="14.5" x14ac:dyDescent="0.35">
      <c r="A56" s="192" t="s">
        <v>13</v>
      </c>
      <c r="B56" s="193">
        <v>45730</v>
      </c>
      <c r="C56" s="225">
        <v>2626</v>
      </c>
      <c r="D56" s="226">
        <v>25</v>
      </c>
      <c r="E56" s="227">
        <v>0</v>
      </c>
      <c r="F56" s="227">
        <v>0</v>
      </c>
      <c r="G56" s="693">
        <v>0</v>
      </c>
      <c r="H56" s="739" t="s">
        <v>281</v>
      </c>
      <c r="I56" s="751">
        <v>9</v>
      </c>
      <c r="K56" s="262"/>
      <c r="L56" s="262"/>
      <c r="M56" s="262"/>
      <c r="O56" s="262"/>
    </row>
    <row r="57" spans="1:15" ht="14.5" x14ac:dyDescent="0.35">
      <c r="A57" s="192" t="s">
        <v>16</v>
      </c>
      <c r="B57" s="193">
        <v>45731</v>
      </c>
      <c r="C57" s="233">
        <v>1688</v>
      </c>
      <c r="D57" s="195">
        <v>150</v>
      </c>
      <c r="E57" s="215">
        <v>0</v>
      </c>
      <c r="F57" s="215">
        <v>0</v>
      </c>
      <c r="G57" s="615">
        <v>5</v>
      </c>
      <c r="H57" s="736" t="s">
        <v>282</v>
      </c>
      <c r="I57" s="748">
        <v>12</v>
      </c>
      <c r="K57" s="262"/>
      <c r="L57" s="262"/>
      <c r="M57" s="262"/>
      <c r="O57" s="262"/>
    </row>
    <row r="58" spans="1:15" ht="14.5" x14ac:dyDescent="0.35">
      <c r="A58" s="192" t="s">
        <v>18</v>
      </c>
      <c r="B58" s="193">
        <v>45732</v>
      </c>
      <c r="C58" s="209"/>
      <c r="D58" s="213"/>
      <c r="E58" s="203"/>
      <c r="F58" s="203"/>
      <c r="G58" s="611"/>
      <c r="H58" s="734"/>
      <c r="I58" s="745"/>
      <c r="K58" s="262"/>
      <c r="L58" s="262"/>
      <c r="M58" s="262"/>
      <c r="O58" s="262"/>
    </row>
    <row r="59" spans="1:15" ht="14.5" x14ac:dyDescent="0.35">
      <c r="A59" s="192" t="s">
        <v>20</v>
      </c>
      <c r="B59" s="193">
        <v>45733</v>
      </c>
      <c r="C59" s="233">
        <v>3415</v>
      </c>
      <c r="D59" s="234">
        <v>120</v>
      </c>
      <c r="E59" s="215">
        <v>0</v>
      </c>
      <c r="F59" s="215">
        <v>3</v>
      </c>
      <c r="G59" s="615">
        <v>9</v>
      </c>
      <c r="H59" s="736" t="s">
        <v>283</v>
      </c>
      <c r="I59" s="748">
        <v>24</v>
      </c>
      <c r="K59" s="262"/>
      <c r="L59" s="262"/>
      <c r="M59" s="262"/>
      <c r="O59" s="262"/>
    </row>
    <row r="60" spans="1:15" ht="14.5" x14ac:dyDescent="0.35">
      <c r="A60" s="192" t="s">
        <v>22</v>
      </c>
      <c r="B60" s="193">
        <v>45734</v>
      </c>
      <c r="C60" s="237">
        <v>3796</v>
      </c>
      <c r="D60" s="238">
        <v>245</v>
      </c>
      <c r="E60" s="239">
        <v>1</v>
      </c>
      <c r="F60" s="239">
        <v>1</v>
      </c>
      <c r="G60" s="695">
        <v>3</v>
      </c>
      <c r="H60" s="742" t="s">
        <v>284</v>
      </c>
      <c r="I60" s="754">
        <v>23</v>
      </c>
      <c r="K60" s="262"/>
      <c r="L60" s="262"/>
      <c r="M60" s="262"/>
      <c r="O60" s="262"/>
    </row>
    <row r="61" spans="1:15" ht="14.5" x14ac:dyDescent="0.35">
      <c r="A61" s="192" t="s">
        <v>24</v>
      </c>
      <c r="B61" s="193">
        <v>45735</v>
      </c>
      <c r="C61" s="214">
        <v>2651</v>
      </c>
      <c r="D61" s="195">
        <v>0</v>
      </c>
      <c r="E61" s="215">
        <v>0</v>
      </c>
      <c r="F61" s="215">
        <v>0</v>
      </c>
      <c r="G61" s="615">
        <v>4</v>
      </c>
      <c r="H61" s="736" t="s">
        <v>285</v>
      </c>
      <c r="I61" s="748">
        <v>11</v>
      </c>
      <c r="K61" s="262"/>
      <c r="L61" s="262"/>
      <c r="M61" s="262"/>
      <c r="O61" s="262"/>
    </row>
    <row r="62" spans="1:15" ht="14.5" x14ac:dyDescent="0.35">
      <c r="A62" s="192" t="s">
        <v>10</v>
      </c>
      <c r="B62" s="193">
        <v>45736</v>
      </c>
      <c r="C62" s="237">
        <v>1115</v>
      </c>
      <c r="D62" s="238">
        <v>0</v>
      </c>
      <c r="E62" s="239">
        <v>0</v>
      </c>
      <c r="F62" s="239">
        <v>0</v>
      </c>
      <c r="G62" s="695">
        <v>1</v>
      </c>
      <c r="H62" s="742" t="s">
        <v>286</v>
      </c>
      <c r="I62" s="754">
        <v>9</v>
      </c>
      <c r="K62" s="262"/>
      <c r="L62" s="262"/>
      <c r="M62" s="262"/>
      <c r="O62" s="262"/>
    </row>
    <row r="63" spans="1:15" ht="14.5" x14ac:dyDescent="0.35">
      <c r="A63" s="192" t="s">
        <v>13</v>
      </c>
      <c r="B63" s="193">
        <v>45737</v>
      </c>
      <c r="C63" s="205">
        <v>2784</v>
      </c>
      <c r="D63" s="206">
        <v>0</v>
      </c>
      <c r="E63" s="207">
        <v>0</v>
      </c>
      <c r="F63" s="207">
        <v>0</v>
      </c>
      <c r="G63" s="612">
        <v>1</v>
      </c>
      <c r="H63" s="735" t="s">
        <v>287</v>
      </c>
      <c r="I63" s="746">
        <v>15</v>
      </c>
      <c r="K63" s="262"/>
      <c r="L63" s="262"/>
      <c r="M63" s="262"/>
      <c r="O63" s="262"/>
    </row>
    <row r="64" spans="1:15" ht="14.5" x14ac:dyDescent="0.35">
      <c r="A64" s="192" t="s">
        <v>16</v>
      </c>
      <c r="B64" s="193">
        <v>45738</v>
      </c>
      <c r="C64" s="209">
        <v>2819</v>
      </c>
      <c r="D64" s="210">
        <v>0</v>
      </c>
      <c r="E64" s="211">
        <v>1</v>
      </c>
      <c r="F64" s="211">
        <v>0</v>
      </c>
      <c r="G64" s="287">
        <v>6</v>
      </c>
      <c r="H64" s="743" t="s">
        <v>288</v>
      </c>
      <c r="I64" s="747">
        <v>21</v>
      </c>
      <c r="K64" s="262"/>
      <c r="L64" s="262"/>
      <c r="M64" s="262"/>
      <c r="O64" s="262"/>
    </row>
    <row r="65" spans="1:15" ht="14.5" x14ac:dyDescent="0.35">
      <c r="A65" s="192" t="s">
        <v>18</v>
      </c>
      <c r="B65" s="193">
        <v>45739</v>
      </c>
      <c r="C65" s="233"/>
      <c r="D65" s="234"/>
      <c r="E65" s="235"/>
      <c r="F65" s="235"/>
      <c r="G65" s="481"/>
      <c r="H65" s="741"/>
      <c r="I65" s="753"/>
      <c r="K65" s="262"/>
      <c r="L65" s="262"/>
      <c r="M65" s="262"/>
      <c r="O65" s="262"/>
    </row>
    <row r="66" spans="1:15" ht="14.5" x14ac:dyDescent="0.35">
      <c r="A66" s="192" t="s">
        <v>20</v>
      </c>
      <c r="B66" s="193">
        <v>45740</v>
      </c>
      <c r="C66" s="237">
        <v>2003</v>
      </c>
      <c r="D66" s="238">
        <v>125</v>
      </c>
      <c r="E66" s="239">
        <v>0</v>
      </c>
      <c r="F66" s="239">
        <v>0</v>
      </c>
      <c r="G66" s="695">
        <v>2</v>
      </c>
      <c r="H66" s="742" t="s">
        <v>289</v>
      </c>
      <c r="I66" s="754">
        <v>16</v>
      </c>
      <c r="K66" s="262"/>
      <c r="L66" s="262"/>
      <c r="M66" s="262"/>
      <c r="O66" s="262"/>
    </row>
    <row r="67" spans="1:15" ht="14.5" x14ac:dyDescent="0.35">
      <c r="A67" s="192" t="s">
        <v>22</v>
      </c>
      <c r="B67" s="193">
        <v>45741</v>
      </c>
      <c r="C67" s="233">
        <v>2723</v>
      </c>
      <c r="D67" s="234">
        <v>115</v>
      </c>
      <c r="E67" s="235">
        <v>0</v>
      </c>
      <c r="F67" s="235">
        <v>1</v>
      </c>
      <c r="G67" s="481">
        <v>3</v>
      </c>
      <c r="H67" s="741" t="s">
        <v>289</v>
      </c>
      <c r="I67" s="753">
        <v>15</v>
      </c>
      <c r="K67" s="262"/>
      <c r="L67" s="262"/>
      <c r="M67" s="262"/>
      <c r="O67" s="262"/>
    </row>
    <row r="68" spans="1:15" ht="14.5" x14ac:dyDescent="0.35">
      <c r="A68" s="192" t="s">
        <v>24</v>
      </c>
      <c r="B68" s="193">
        <v>45742</v>
      </c>
      <c r="C68" s="209">
        <v>1642</v>
      </c>
      <c r="D68" s="210">
        <v>100</v>
      </c>
      <c r="E68" s="211">
        <v>0</v>
      </c>
      <c r="F68" s="211">
        <v>0</v>
      </c>
      <c r="G68" s="287">
        <v>1</v>
      </c>
      <c r="H68" s="743" t="s">
        <v>290</v>
      </c>
      <c r="I68" s="747">
        <v>11</v>
      </c>
      <c r="K68" s="262"/>
      <c r="L68" s="262"/>
      <c r="M68" s="262"/>
      <c r="O68" s="262"/>
    </row>
    <row r="69" spans="1:15" ht="14.5" x14ac:dyDescent="0.35">
      <c r="A69" s="192" t="s">
        <v>10</v>
      </c>
      <c r="B69" s="193">
        <v>45743</v>
      </c>
      <c r="C69" s="214">
        <v>1759</v>
      </c>
      <c r="D69" s="195">
        <v>0</v>
      </c>
      <c r="E69" s="215">
        <v>0</v>
      </c>
      <c r="F69" s="215">
        <v>0</v>
      </c>
      <c r="G69" s="615">
        <v>1</v>
      </c>
      <c r="H69" s="736" t="s">
        <v>290</v>
      </c>
      <c r="I69" s="748">
        <v>11</v>
      </c>
      <c r="K69" s="262"/>
      <c r="L69" s="262"/>
      <c r="M69" s="262"/>
      <c r="O69" s="262"/>
    </row>
    <row r="70" spans="1:15" ht="14.5" x14ac:dyDescent="0.35">
      <c r="A70" s="192" t="s">
        <v>13</v>
      </c>
      <c r="B70" s="193">
        <v>45744</v>
      </c>
      <c r="C70" s="212">
        <v>1913</v>
      </c>
      <c r="D70" s="213">
        <v>25</v>
      </c>
      <c r="E70" s="203">
        <v>0</v>
      </c>
      <c r="F70" s="203">
        <v>0</v>
      </c>
      <c r="G70" s="611">
        <v>1</v>
      </c>
      <c r="H70" s="734" t="s">
        <v>291</v>
      </c>
      <c r="I70" s="745">
        <v>12</v>
      </c>
      <c r="K70" s="262"/>
      <c r="L70" s="262"/>
      <c r="M70" s="262"/>
      <c r="O70" s="262"/>
    </row>
    <row r="71" spans="1:15" ht="14.5" x14ac:dyDescent="0.35">
      <c r="A71" s="192" t="s">
        <v>16</v>
      </c>
      <c r="B71" s="193">
        <v>45745</v>
      </c>
      <c r="C71" s="233">
        <v>735</v>
      </c>
      <c r="D71" s="263">
        <v>40</v>
      </c>
      <c r="E71" s="215">
        <v>0</v>
      </c>
      <c r="F71" s="215">
        <v>0</v>
      </c>
      <c r="G71" s="615">
        <v>3</v>
      </c>
      <c r="H71" s="736" t="s">
        <v>292</v>
      </c>
      <c r="I71" s="748">
        <v>6</v>
      </c>
      <c r="K71" s="262"/>
      <c r="L71" s="262"/>
      <c r="M71" s="262"/>
      <c r="O71" s="262"/>
    </row>
    <row r="72" spans="1:15" ht="14.5" x14ac:dyDescent="0.35">
      <c r="A72" s="192" t="s">
        <v>18</v>
      </c>
      <c r="B72" s="193">
        <v>45746</v>
      </c>
      <c r="C72" s="212"/>
      <c r="D72" s="213"/>
      <c r="E72" s="203"/>
      <c r="F72" s="203"/>
      <c r="G72" s="611"/>
      <c r="H72" s="734"/>
      <c r="I72" s="745"/>
      <c r="K72" s="262"/>
      <c r="L72" s="262"/>
      <c r="M72" s="262"/>
      <c r="O72" s="262"/>
    </row>
    <row r="73" spans="1:15" thickBot="1" x14ac:dyDescent="0.4">
      <c r="A73" s="192" t="s">
        <v>20</v>
      </c>
      <c r="B73" s="193">
        <v>45747</v>
      </c>
      <c r="C73" s="264">
        <v>1537</v>
      </c>
      <c r="D73" s="265">
        <v>115</v>
      </c>
      <c r="E73" s="266">
        <v>0</v>
      </c>
      <c r="F73" s="266">
        <v>3</v>
      </c>
      <c r="G73" s="696">
        <v>4</v>
      </c>
      <c r="H73" s="870" t="s">
        <v>293</v>
      </c>
      <c r="I73" s="755">
        <v>15</v>
      </c>
      <c r="K73" s="262"/>
      <c r="L73" s="262"/>
      <c r="M73" s="262"/>
      <c r="O73" s="262"/>
    </row>
    <row r="74" spans="1:15" thickBot="1" x14ac:dyDescent="0.4">
      <c r="A74" s="257"/>
      <c r="B74" s="268"/>
      <c r="C74" s="258">
        <f t="shared" ref="C74:F74" si="1">SUM(C43:C73)</f>
        <v>57621</v>
      </c>
      <c r="D74" s="259">
        <f t="shared" si="1"/>
        <v>2396</v>
      </c>
      <c r="E74" s="260">
        <f t="shared" si="1"/>
        <v>3</v>
      </c>
      <c r="F74" s="884">
        <f t="shared" si="1"/>
        <v>10</v>
      </c>
      <c r="G74" s="885">
        <f>SUM(G43:G73)</f>
        <v>87</v>
      </c>
      <c r="H74" s="886" t="s">
        <v>170</v>
      </c>
      <c r="I74" s="887"/>
      <c r="K74" s="262"/>
      <c r="L74" s="262"/>
      <c r="M74" s="262"/>
      <c r="O74" s="262"/>
    </row>
    <row r="75" spans="1:15" ht="14.5" x14ac:dyDescent="0.35">
      <c r="A75" s="262"/>
      <c r="B75" s="474"/>
      <c r="C75" s="508"/>
      <c r="D75" s="262"/>
      <c r="E75" s="475"/>
      <c r="F75" s="511"/>
      <c r="G75" s="262"/>
      <c r="H75" s="262"/>
      <c r="I75" s="262"/>
      <c r="J75" s="262"/>
      <c r="K75" s="262"/>
      <c r="L75" s="262"/>
      <c r="M75" s="262"/>
    </row>
    <row r="76" spans="1:15" ht="16" x14ac:dyDescent="0.4">
      <c r="A76" s="262"/>
      <c r="B76" s="474"/>
      <c r="C76" s="508"/>
      <c r="D76" s="262"/>
      <c r="E76" s="508"/>
      <c r="F76" s="262"/>
      <c r="G76" s="262"/>
      <c r="H76" s="262"/>
      <c r="I76" s="262"/>
      <c r="J76" s="262"/>
      <c r="K76" s="349"/>
      <c r="L76" s="349"/>
      <c r="M76" s="262"/>
    </row>
    <row r="77" spans="1:15" ht="15.65" customHeight="1" thickBot="1" x14ac:dyDescent="0.45">
      <c r="A77" s="348"/>
      <c r="B77" s="926" t="s">
        <v>53</v>
      </c>
      <c r="C77" s="928" t="s">
        <v>0</v>
      </c>
      <c r="D77" s="298" t="s">
        <v>2</v>
      </c>
      <c r="E77" s="184" t="s">
        <v>3</v>
      </c>
      <c r="F77" s="772" t="s">
        <v>4</v>
      </c>
      <c r="G77" s="774" t="s">
        <v>143</v>
      </c>
      <c r="H77" s="186" t="s">
        <v>6</v>
      </c>
      <c r="I77" s="773" t="s">
        <v>7</v>
      </c>
      <c r="M77" s="349"/>
      <c r="O77" s="349"/>
    </row>
    <row r="78" spans="1:15" ht="33" customHeight="1" x14ac:dyDescent="0.4">
      <c r="A78" s="497"/>
      <c r="B78" s="927"/>
      <c r="C78" s="929"/>
      <c r="D78" s="299" t="s">
        <v>0</v>
      </c>
      <c r="E78" s="188" t="s">
        <v>0</v>
      </c>
      <c r="F78" s="772" t="s">
        <v>0</v>
      </c>
      <c r="G78" s="664" t="s">
        <v>0</v>
      </c>
      <c r="H78" s="665" t="s">
        <v>8</v>
      </c>
      <c r="I78" s="666" t="s">
        <v>9</v>
      </c>
      <c r="K78" s="923" t="s">
        <v>12</v>
      </c>
      <c r="L78" s="923"/>
      <c r="M78" s="262"/>
      <c r="O78" s="262"/>
    </row>
    <row r="79" spans="1:15" ht="14.5" x14ac:dyDescent="0.35">
      <c r="A79" s="192" t="s">
        <v>16</v>
      </c>
      <c r="B79" s="193">
        <v>45717</v>
      </c>
      <c r="C79" s="194">
        <v>1736</v>
      </c>
      <c r="D79" s="195">
        <v>93</v>
      </c>
      <c r="E79" s="286">
        <v>1</v>
      </c>
      <c r="F79" s="855">
        <v>0</v>
      </c>
      <c r="G79" s="728">
        <v>3</v>
      </c>
      <c r="H79" s="871" t="s">
        <v>294</v>
      </c>
      <c r="I79" s="744">
        <v>16</v>
      </c>
      <c r="K79" s="513" t="s">
        <v>15</v>
      </c>
      <c r="L79" s="409">
        <v>55000</v>
      </c>
      <c r="M79" s="262"/>
      <c r="O79" s="262"/>
    </row>
    <row r="80" spans="1:15" ht="14.5" x14ac:dyDescent="0.35">
      <c r="A80" s="192" t="s">
        <v>18</v>
      </c>
      <c r="B80" s="193">
        <v>45718</v>
      </c>
      <c r="C80" s="212"/>
      <c r="D80" s="213"/>
      <c r="E80" s="203"/>
      <c r="F80" s="203"/>
      <c r="G80" s="611"/>
      <c r="H80" s="736"/>
      <c r="I80" s="745"/>
      <c r="K80" s="504" t="s">
        <v>17</v>
      </c>
      <c r="L80" s="411">
        <v>2000</v>
      </c>
      <c r="M80" s="262"/>
      <c r="O80" s="262"/>
    </row>
    <row r="81" spans="1:15" ht="14.5" x14ac:dyDescent="0.35">
      <c r="A81" s="192" t="s">
        <v>20</v>
      </c>
      <c r="B81" s="193">
        <v>45719</v>
      </c>
      <c r="C81" s="205">
        <v>3171</v>
      </c>
      <c r="D81" s="206">
        <v>87</v>
      </c>
      <c r="E81" s="207">
        <v>0</v>
      </c>
      <c r="F81" s="207">
        <v>0</v>
      </c>
      <c r="G81" s="675">
        <v>1</v>
      </c>
      <c r="H81" s="872" t="s">
        <v>295</v>
      </c>
      <c r="I81" s="746">
        <v>17</v>
      </c>
      <c r="K81" s="515" t="s">
        <v>19</v>
      </c>
      <c r="L81" s="413">
        <v>15</v>
      </c>
      <c r="M81" s="262"/>
      <c r="O81" s="262"/>
    </row>
    <row r="82" spans="1:15" ht="14.5" x14ac:dyDescent="0.35">
      <c r="A82" s="192" t="s">
        <v>22</v>
      </c>
      <c r="B82" s="193">
        <v>45720</v>
      </c>
      <c r="C82" s="209">
        <v>2396</v>
      </c>
      <c r="D82" s="210">
        <v>0</v>
      </c>
      <c r="E82" s="211">
        <v>0</v>
      </c>
      <c r="F82" s="211">
        <v>0</v>
      </c>
      <c r="G82" s="684">
        <v>3</v>
      </c>
      <c r="H82" s="873" t="s">
        <v>296</v>
      </c>
      <c r="I82" s="747">
        <v>18</v>
      </c>
      <c r="K82" s="838"/>
      <c r="L82" s="839"/>
      <c r="M82" s="262"/>
      <c r="O82" s="262"/>
    </row>
    <row r="83" spans="1:15" ht="14.5" x14ac:dyDescent="0.35">
      <c r="A83" s="192" t="s">
        <v>24</v>
      </c>
      <c r="B83" s="193">
        <v>45721</v>
      </c>
      <c r="C83" s="205">
        <v>1961</v>
      </c>
      <c r="D83" s="206">
        <v>97</v>
      </c>
      <c r="E83" s="207">
        <v>0</v>
      </c>
      <c r="F83" s="207">
        <v>0</v>
      </c>
      <c r="G83" s="675">
        <v>0</v>
      </c>
      <c r="H83" s="872" t="s">
        <v>297</v>
      </c>
      <c r="I83" s="746">
        <v>13</v>
      </c>
      <c r="K83" s="262"/>
      <c r="L83" s="262"/>
      <c r="M83" s="262"/>
      <c r="O83" s="262"/>
    </row>
    <row r="84" spans="1:15" ht="14.5" x14ac:dyDescent="0.35">
      <c r="A84" s="192" t="s">
        <v>10</v>
      </c>
      <c r="B84" s="193">
        <v>45722</v>
      </c>
      <c r="C84" s="212">
        <v>1699</v>
      </c>
      <c r="D84" s="213">
        <v>29</v>
      </c>
      <c r="E84" s="203">
        <v>0</v>
      </c>
      <c r="F84" s="203">
        <v>1</v>
      </c>
      <c r="G84" s="676">
        <v>1</v>
      </c>
      <c r="H84" s="874" t="s">
        <v>298</v>
      </c>
      <c r="I84" s="745">
        <v>14</v>
      </c>
      <c r="K84" s="262"/>
      <c r="L84" s="262"/>
      <c r="M84" s="262"/>
      <c r="O84" s="262"/>
    </row>
    <row r="85" spans="1:15" ht="14.5" x14ac:dyDescent="0.35">
      <c r="A85" s="192" t="s">
        <v>13</v>
      </c>
      <c r="B85" s="193">
        <v>45723</v>
      </c>
      <c r="C85" s="214">
        <v>449</v>
      </c>
      <c r="D85" s="195">
        <v>29</v>
      </c>
      <c r="E85" s="215">
        <v>0</v>
      </c>
      <c r="F85" s="215">
        <v>0</v>
      </c>
      <c r="G85" s="682">
        <v>0</v>
      </c>
      <c r="H85" s="875" t="s">
        <v>299</v>
      </c>
      <c r="I85" s="748">
        <v>3</v>
      </c>
      <c r="K85" s="262"/>
      <c r="L85" s="262"/>
      <c r="M85" s="262"/>
      <c r="O85" s="262"/>
    </row>
    <row r="86" spans="1:15" ht="14.5" x14ac:dyDescent="0.35">
      <c r="A86" s="192" t="s">
        <v>16</v>
      </c>
      <c r="B86" s="193">
        <v>45724</v>
      </c>
      <c r="C86" s="217">
        <v>1322</v>
      </c>
      <c r="D86" s="218">
        <v>58</v>
      </c>
      <c r="E86" s="219">
        <v>1</v>
      </c>
      <c r="F86" s="219">
        <v>0</v>
      </c>
      <c r="G86" s="677">
        <v>0</v>
      </c>
      <c r="H86" s="876" t="s">
        <v>300</v>
      </c>
      <c r="I86" s="749">
        <v>11</v>
      </c>
      <c r="K86" s="262"/>
      <c r="L86" s="262"/>
      <c r="M86" s="262"/>
      <c r="O86" s="262"/>
    </row>
    <row r="87" spans="1:15" ht="14.5" x14ac:dyDescent="0.35">
      <c r="A87" s="192" t="s">
        <v>18</v>
      </c>
      <c r="B87" s="193">
        <v>45725</v>
      </c>
      <c r="C87" s="221"/>
      <c r="D87" s="222"/>
      <c r="E87" s="223"/>
      <c r="F87" s="223"/>
      <c r="G87" s="678"/>
      <c r="H87" s="877"/>
      <c r="I87" s="750"/>
      <c r="K87" s="262"/>
      <c r="L87" s="262"/>
      <c r="M87" s="262"/>
      <c r="O87" s="262"/>
    </row>
    <row r="88" spans="1:15" ht="14.5" x14ac:dyDescent="0.35">
      <c r="A88" s="192" t="s">
        <v>20</v>
      </c>
      <c r="B88" s="193">
        <v>45726</v>
      </c>
      <c r="C88" s="225">
        <v>1083</v>
      </c>
      <c r="D88" s="226">
        <v>83</v>
      </c>
      <c r="E88" s="227">
        <v>0</v>
      </c>
      <c r="F88" s="227">
        <v>0</v>
      </c>
      <c r="G88" s="679">
        <v>0</v>
      </c>
      <c r="H88" s="878" t="s">
        <v>301</v>
      </c>
      <c r="I88" s="751">
        <v>15</v>
      </c>
      <c r="K88" s="262"/>
      <c r="L88" s="262"/>
      <c r="M88" s="262"/>
      <c r="O88" s="262"/>
    </row>
    <row r="89" spans="1:15" ht="14.5" x14ac:dyDescent="0.35">
      <c r="A89" s="192" t="s">
        <v>22</v>
      </c>
      <c r="B89" s="193">
        <v>45727</v>
      </c>
      <c r="C89" s="229">
        <v>1136</v>
      </c>
      <c r="D89" s="230">
        <v>0</v>
      </c>
      <c r="E89" s="231">
        <v>0</v>
      </c>
      <c r="F89" s="231">
        <v>0</v>
      </c>
      <c r="G89" s="680">
        <v>1</v>
      </c>
      <c r="H89" s="879" t="s">
        <v>302</v>
      </c>
      <c r="I89" s="752">
        <v>10</v>
      </c>
      <c r="K89" s="262"/>
      <c r="L89" s="262"/>
      <c r="M89" s="262"/>
      <c r="O89" s="262"/>
    </row>
    <row r="90" spans="1:15" ht="14.5" x14ac:dyDescent="0.35">
      <c r="A90" s="192" t="s">
        <v>24</v>
      </c>
      <c r="B90" s="193">
        <v>45728</v>
      </c>
      <c r="C90" s="225">
        <v>666</v>
      </c>
      <c r="D90" s="226">
        <v>29</v>
      </c>
      <c r="E90" s="227">
        <v>0</v>
      </c>
      <c r="F90" s="227">
        <v>0</v>
      </c>
      <c r="G90" s="679">
        <v>0</v>
      </c>
      <c r="H90" s="878" t="s">
        <v>303</v>
      </c>
      <c r="I90" s="751">
        <v>6</v>
      </c>
      <c r="K90" s="262"/>
      <c r="L90" s="262"/>
      <c r="M90" s="262"/>
      <c r="O90" s="262"/>
    </row>
    <row r="91" spans="1:15" ht="14.5" x14ac:dyDescent="0.35">
      <c r="A91" s="192" t="s">
        <v>10</v>
      </c>
      <c r="B91" s="193">
        <v>45729</v>
      </c>
      <c r="C91" s="233">
        <v>271</v>
      </c>
      <c r="D91" s="234">
        <v>0</v>
      </c>
      <c r="E91" s="235">
        <v>0</v>
      </c>
      <c r="F91" s="235">
        <v>0</v>
      </c>
      <c r="G91" s="681">
        <v>0</v>
      </c>
      <c r="H91" s="880" t="s">
        <v>304</v>
      </c>
      <c r="I91" s="753">
        <v>12</v>
      </c>
      <c r="K91" s="262"/>
      <c r="L91" s="262"/>
      <c r="M91" s="262"/>
      <c r="O91" s="262"/>
    </row>
    <row r="92" spans="1:15" ht="14.5" x14ac:dyDescent="0.35">
      <c r="A92" s="192" t="s">
        <v>13</v>
      </c>
      <c r="B92" s="193">
        <v>45730</v>
      </c>
      <c r="C92" s="225">
        <v>2143</v>
      </c>
      <c r="D92" s="226">
        <v>58</v>
      </c>
      <c r="E92" s="227">
        <v>0</v>
      </c>
      <c r="F92" s="227">
        <v>0</v>
      </c>
      <c r="G92" s="679">
        <v>0</v>
      </c>
      <c r="H92" s="878" t="s">
        <v>305</v>
      </c>
      <c r="I92" s="751">
        <v>12</v>
      </c>
      <c r="K92" s="262"/>
      <c r="L92" s="262"/>
      <c r="M92" s="262"/>
      <c r="O92" s="262"/>
    </row>
    <row r="93" spans="1:15" ht="14.5" x14ac:dyDescent="0.35">
      <c r="A93" s="192" t="s">
        <v>16</v>
      </c>
      <c r="B93" s="193">
        <v>45731</v>
      </c>
      <c r="C93" s="233">
        <v>572</v>
      </c>
      <c r="D93" s="195">
        <v>58</v>
      </c>
      <c r="E93" s="215">
        <v>0</v>
      </c>
      <c r="F93" s="215">
        <v>1</v>
      </c>
      <c r="G93" s="682">
        <v>0</v>
      </c>
      <c r="H93" s="875" t="s">
        <v>306</v>
      </c>
      <c r="I93" s="748">
        <v>8</v>
      </c>
      <c r="K93" s="262"/>
      <c r="L93" s="262"/>
      <c r="M93" s="262"/>
      <c r="O93" s="262"/>
    </row>
    <row r="94" spans="1:15" ht="14.5" x14ac:dyDescent="0.35">
      <c r="A94" s="192" t="s">
        <v>18</v>
      </c>
      <c r="B94" s="193">
        <v>45732</v>
      </c>
      <c r="C94" s="209"/>
      <c r="D94" s="213"/>
      <c r="E94" s="203"/>
      <c r="F94" s="203"/>
      <c r="G94" s="676"/>
      <c r="H94" s="874"/>
      <c r="I94" s="745"/>
      <c r="K94" s="262"/>
      <c r="L94" s="262"/>
      <c r="M94" s="262"/>
      <c r="O94" s="262"/>
    </row>
    <row r="95" spans="1:15" ht="14.5" x14ac:dyDescent="0.35">
      <c r="A95" s="192" t="s">
        <v>20</v>
      </c>
      <c r="B95" s="193">
        <v>45733</v>
      </c>
      <c r="C95" s="233">
        <v>3237</v>
      </c>
      <c r="D95" s="234">
        <v>87</v>
      </c>
      <c r="E95" s="215">
        <v>1</v>
      </c>
      <c r="F95" s="215">
        <v>0</v>
      </c>
      <c r="G95" s="682">
        <v>2</v>
      </c>
      <c r="H95" s="875" t="s">
        <v>307</v>
      </c>
      <c r="I95" s="748">
        <v>18</v>
      </c>
      <c r="K95" s="262"/>
      <c r="L95" s="262"/>
      <c r="M95" s="262"/>
      <c r="O95" s="262"/>
    </row>
    <row r="96" spans="1:15" ht="14.5" x14ac:dyDescent="0.35">
      <c r="A96" s="192" t="s">
        <v>22</v>
      </c>
      <c r="B96" s="193">
        <v>45734</v>
      </c>
      <c r="C96" s="237">
        <v>1006</v>
      </c>
      <c r="D96" s="270">
        <v>69</v>
      </c>
      <c r="E96" s="239">
        <v>0</v>
      </c>
      <c r="F96" s="239">
        <v>0</v>
      </c>
      <c r="G96" s="683">
        <v>4</v>
      </c>
      <c r="H96" s="881" t="s">
        <v>308</v>
      </c>
      <c r="I96" s="754">
        <v>13</v>
      </c>
      <c r="K96" s="262"/>
      <c r="L96" s="262"/>
      <c r="M96" s="262"/>
      <c r="O96" s="262"/>
    </row>
    <row r="97" spans="1:15" ht="14.5" x14ac:dyDescent="0.35">
      <c r="A97" s="192" t="s">
        <v>24</v>
      </c>
      <c r="B97" s="193">
        <v>45735</v>
      </c>
      <c r="C97" s="214">
        <v>2581</v>
      </c>
      <c r="D97" s="195">
        <v>58</v>
      </c>
      <c r="E97" s="215">
        <v>0</v>
      </c>
      <c r="F97" s="215">
        <v>0</v>
      </c>
      <c r="G97" s="682">
        <v>0</v>
      </c>
      <c r="H97" s="875" t="s">
        <v>309</v>
      </c>
      <c r="I97" s="748">
        <v>7</v>
      </c>
      <c r="K97" s="262"/>
      <c r="L97" s="262"/>
      <c r="M97" s="262"/>
      <c r="O97" s="262"/>
    </row>
    <row r="98" spans="1:15" ht="14.5" x14ac:dyDescent="0.35">
      <c r="A98" s="192" t="s">
        <v>10</v>
      </c>
      <c r="B98" s="193">
        <v>45736</v>
      </c>
      <c r="C98" s="237">
        <v>2460</v>
      </c>
      <c r="D98" s="238">
        <v>29</v>
      </c>
      <c r="E98" s="239">
        <v>0</v>
      </c>
      <c r="F98" s="239">
        <v>1</v>
      </c>
      <c r="G98" s="683">
        <v>1</v>
      </c>
      <c r="H98" s="881" t="s">
        <v>310</v>
      </c>
      <c r="I98" s="754">
        <v>10</v>
      </c>
      <c r="K98" s="262"/>
      <c r="L98" s="262"/>
      <c r="M98" s="262"/>
      <c r="O98" s="262"/>
    </row>
    <row r="99" spans="1:15" ht="14.5" x14ac:dyDescent="0.35">
      <c r="A99" s="192" t="s">
        <v>13</v>
      </c>
      <c r="B99" s="193">
        <v>45737</v>
      </c>
      <c r="C99" s="205">
        <v>1965</v>
      </c>
      <c r="D99" s="206">
        <v>58</v>
      </c>
      <c r="E99" s="207">
        <v>0</v>
      </c>
      <c r="F99" s="207">
        <v>0</v>
      </c>
      <c r="G99" s="675">
        <v>0</v>
      </c>
      <c r="H99" s="872" t="s">
        <v>311</v>
      </c>
      <c r="I99" s="746">
        <v>7</v>
      </c>
      <c r="K99" s="262"/>
      <c r="L99" s="262"/>
      <c r="M99" s="262"/>
      <c r="O99" s="262"/>
    </row>
    <row r="100" spans="1:15" ht="14.5" x14ac:dyDescent="0.35">
      <c r="A100" s="192" t="s">
        <v>16</v>
      </c>
      <c r="B100" s="193">
        <v>45738</v>
      </c>
      <c r="C100" s="209">
        <v>1784</v>
      </c>
      <c r="D100" s="210">
        <v>0</v>
      </c>
      <c r="E100" s="211">
        <v>0</v>
      </c>
      <c r="F100" s="211">
        <v>0</v>
      </c>
      <c r="G100" s="684">
        <v>1</v>
      </c>
      <c r="H100" s="873" t="s">
        <v>312</v>
      </c>
      <c r="I100" s="747">
        <v>14</v>
      </c>
      <c r="K100" s="262"/>
      <c r="L100" s="262"/>
      <c r="M100" s="262"/>
      <c r="O100" s="262"/>
    </row>
    <row r="101" spans="1:15" ht="14.5" x14ac:dyDescent="0.35">
      <c r="A101" s="192" t="s">
        <v>18</v>
      </c>
      <c r="B101" s="193">
        <v>45739</v>
      </c>
      <c r="C101" s="233"/>
      <c r="D101" s="234"/>
      <c r="E101" s="235"/>
      <c r="F101" s="235"/>
      <c r="G101" s="681"/>
      <c r="H101" s="880"/>
      <c r="I101" s="753"/>
      <c r="K101" s="262"/>
      <c r="L101" s="262"/>
      <c r="M101" s="262"/>
      <c r="O101" s="262"/>
    </row>
    <row r="102" spans="1:15" ht="14.5" x14ac:dyDescent="0.35">
      <c r="A102" s="192" t="s">
        <v>20</v>
      </c>
      <c r="B102" s="193">
        <v>45740</v>
      </c>
      <c r="C102" s="237">
        <v>1315</v>
      </c>
      <c r="D102" s="238">
        <v>87</v>
      </c>
      <c r="E102" s="239">
        <v>0</v>
      </c>
      <c r="F102" s="239">
        <v>1</v>
      </c>
      <c r="G102" s="683">
        <v>1</v>
      </c>
      <c r="H102" s="881" t="s">
        <v>313</v>
      </c>
      <c r="I102" s="754">
        <v>13</v>
      </c>
      <c r="K102" s="262"/>
      <c r="L102" s="262"/>
      <c r="M102" s="262"/>
      <c r="O102" s="262"/>
    </row>
    <row r="103" spans="1:15" ht="14.5" x14ac:dyDescent="0.35">
      <c r="A103" s="192" t="s">
        <v>22</v>
      </c>
      <c r="B103" s="193">
        <v>45741</v>
      </c>
      <c r="C103" s="233">
        <v>1301</v>
      </c>
      <c r="D103" s="234">
        <v>29</v>
      </c>
      <c r="E103" s="235">
        <v>0</v>
      </c>
      <c r="F103" s="235">
        <v>0</v>
      </c>
      <c r="G103" s="681">
        <v>0</v>
      </c>
      <c r="H103" s="880" t="s">
        <v>314</v>
      </c>
      <c r="I103" s="753">
        <v>5</v>
      </c>
      <c r="K103" s="262"/>
      <c r="L103" s="262"/>
      <c r="M103" s="508"/>
      <c r="O103" s="262"/>
    </row>
    <row r="104" spans="1:15" ht="14.5" x14ac:dyDescent="0.35">
      <c r="A104" s="192" t="s">
        <v>24</v>
      </c>
      <c r="B104" s="193">
        <v>45742</v>
      </c>
      <c r="C104" s="209">
        <v>972</v>
      </c>
      <c r="D104" s="210">
        <v>29</v>
      </c>
      <c r="E104" s="211">
        <v>0</v>
      </c>
      <c r="F104" s="211">
        <v>0</v>
      </c>
      <c r="G104" s="684">
        <v>0</v>
      </c>
      <c r="H104" s="873" t="s">
        <v>315</v>
      </c>
      <c r="I104" s="747">
        <v>6</v>
      </c>
      <c r="M104" s="508"/>
      <c r="O104" s="262"/>
    </row>
    <row r="105" spans="1:15" ht="14.5" x14ac:dyDescent="0.35">
      <c r="A105" s="192" t="s">
        <v>10</v>
      </c>
      <c r="B105" s="193">
        <v>45743</v>
      </c>
      <c r="C105" s="214">
        <v>1885</v>
      </c>
      <c r="D105" s="195">
        <v>29</v>
      </c>
      <c r="E105" s="215">
        <v>0</v>
      </c>
      <c r="F105" s="215">
        <v>0</v>
      </c>
      <c r="G105" s="697">
        <v>2</v>
      </c>
      <c r="H105" s="880" t="s">
        <v>315</v>
      </c>
      <c r="I105" s="756">
        <v>14</v>
      </c>
      <c r="M105" s="262"/>
      <c r="O105" s="262"/>
    </row>
    <row r="106" spans="1:15" ht="14.5" x14ac:dyDescent="0.35">
      <c r="A106" s="192" t="s">
        <v>13</v>
      </c>
      <c r="B106" s="193">
        <v>45744</v>
      </c>
      <c r="C106" s="212">
        <v>1316</v>
      </c>
      <c r="D106" s="213">
        <v>29</v>
      </c>
      <c r="E106" s="203">
        <v>0</v>
      </c>
      <c r="F106" s="203">
        <v>0</v>
      </c>
      <c r="G106" s="676">
        <v>2</v>
      </c>
      <c r="H106" s="874" t="s">
        <v>316</v>
      </c>
      <c r="I106" s="745">
        <v>11</v>
      </c>
      <c r="M106" s="262"/>
      <c r="O106" s="262"/>
    </row>
    <row r="107" spans="1:15" ht="14.5" x14ac:dyDescent="0.35">
      <c r="A107" s="192" t="s">
        <v>16</v>
      </c>
      <c r="B107" s="193">
        <v>45745</v>
      </c>
      <c r="C107" s="233">
        <v>2135</v>
      </c>
      <c r="D107" s="195">
        <v>87</v>
      </c>
      <c r="E107" s="215">
        <v>0</v>
      </c>
      <c r="F107" s="247">
        <v>0</v>
      </c>
      <c r="G107" s="682">
        <v>1</v>
      </c>
      <c r="H107" s="875" t="s">
        <v>317</v>
      </c>
      <c r="I107" s="748">
        <v>15</v>
      </c>
      <c r="M107" s="262"/>
      <c r="O107" s="262"/>
    </row>
    <row r="108" spans="1:15" ht="14.5" x14ac:dyDescent="0.35">
      <c r="A108" s="192" t="s">
        <v>18</v>
      </c>
      <c r="B108" s="193">
        <v>45746</v>
      </c>
      <c r="C108" s="212"/>
      <c r="D108" s="213"/>
      <c r="E108" s="203"/>
      <c r="F108" s="203"/>
      <c r="G108" s="676"/>
      <c r="H108" s="874"/>
      <c r="I108" s="745"/>
      <c r="K108" s="262"/>
      <c r="L108" s="262"/>
      <c r="M108" s="262"/>
      <c r="O108" s="262"/>
    </row>
    <row r="109" spans="1:15" thickBot="1" x14ac:dyDescent="0.4">
      <c r="A109" s="192" t="s">
        <v>20</v>
      </c>
      <c r="B109" s="193">
        <v>45747</v>
      </c>
      <c r="C109" s="264">
        <v>2357</v>
      </c>
      <c r="D109" s="265">
        <v>20</v>
      </c>
      <c r="E109" s="266">
        <v>0</v>
      </c>
      <c r="F109" s="266">
        <v>1</v>
      </c>
      <c r="G109" s="687">
        <v>1</v>
      </c>
      <c r="H109" s="882" t="s">
        <v>318</v>
      </c>
      <c r="I109" s="755">
        <v>18</v>
      </c>
      <c r="K109" s="262"/>
      <c r="L109" s="262"/>
      <c r="M109" s="262"/>
      <c r="O109" s="262"/>
    </row>
    <row r="110" spans="1:15" thickBot="1" x14ac:dyDescent="0.4">
      <c r="A110" s="257"/>
      <c r="B110" s="268"/>
      <c r="C110" s="258">
        <f t="shared" ref="C110:F110" si="2">SUM(C79:C109)</f>
        <v>42919</v>
      </c>
      <c r="D110" s="259">
        <f t="shared" si="2"/>
        <v>1232</v>
      </c>
      <c r="E110" s="260">
        <f t="shared" si="2"/>
        <v>3</v>
      </c>
      <c r="F110" s="884">
        <f t="shared" si="2"/>
        <v>5</v>
      </c>
      <c r="G110" s="885">
        <f>SUM(G79:G109)</f>
        <v>24</v>
      </c>
      <c r="H110" s="886" t="s">
        <v>193</v>
      </c>
      <c r="I110" s="887"/>
      <c r="K110" s="262"/>
      <c r="L110" s="262"/>
      <c r="M110" s="262"/>
      <c r="O110" s="262"/>
    </row>
    <row r="111" spans="1:15" ht="16" x14ac:dyDescent="0.4">
      <c r="A111" s="262"/>
      <c r="B111" s="474"/>
      <c r="C111" s="508"/>
      <c r="D111" s="475"/>
      <c r="E111" s="511"/>
      <c r="F111" s="262"/>
      <c r="G111" s="262"/>
      <c r="H111" s="262"/>
      <c r="I111" s="262"/>
      <c r="J111" s="262"/>
      <c r="K111" s="349"/>
      <c r="L111" s="349"/>
      <c r="M111" s="262"/>
    </row>
    <row r="112" spans="1:15" ht="14.5" x14ac:dyDescent="0.35">
      <c r="A112" s="262"/>
      <c r="B112" s="474"/>
      <c r="C112" s="508"/>
      <c r="D112" s="475"/>
      <c r="E112" s="511"/>
      <c r="F112" s="262"/>
      <c r="G112" s="262"/>
      <c r="H112" s="262"/>
      <c r="I112" s="262"/>
      <c r="J112" s="262"/>
      <c r="M112" s="262"/>
    </row>
    <row r="113" spans="1:13" ht="16" x14ac:dyDescent="0.4">
      <c r="A113" s="262"/>
      <c r="B113" s="474"/>
      <c r="C113" s="508"/>
      <c r="D113" s="475"/>
      <c r="E113" s="511"/>
      <c r="F113" s="262"/>
      <c r="G113" s="262"/>
      <c r="H113" s="262"/>
      <c r="I113" s="349"/>
      <c r="J113" s="349"/>
      <c r="M113" s="262"/>
    </row>
    <row r="114" spans="1:13" ht="25" customHeight="1" thickBot="1" x14ac:dyDescent="0.4">
      <c r="A114" s="262"/>
      <c r="B114" s="474"/>
      <c r="C114" s="508"/>
      <c r="D114" s="475"/>
      <c r="E114" s="511"/>
      <c r="F114" s="262"/>
      <c r="G114" s="262"/>
      <c r="H114" s="262"/>
      <c r="I114" s="262"/>
      <c r="J114" s="262"/>
      <c r="M114" s="262"/>
    </row>
    <row r="115" spans="1:13" ht="16" customHeight="1" thickBot="1" x14ac:dyDescent="0.45">
      <c r="A115" s="2"/>
      <c r="B115" s="926" t="s">
        <v>70</v>
      </c>
      <c r="C115" s="928" t="s">
        <v>0</v>
      </c>
      <c r="D115" s="298" t="s">
        <v>2</v>
      </c>
      <c r="E115" s="771" t="s">
        <v>3</v>
      </c>
      <c r="F115" s="772" t="s">
        <v>4</v>
      </c>
      <c r="G115" s="774" t="s">
        <v>143</v>
      </c>
      <c r="H115" s="186" t="s">
        <v>6</v>
      </c>
      <c r="I115" s="773" t="s">
        <v>7</v>
      </c>
      <c r="M115" s="262"/>
    </row>
    <row r="116" spans="1:13" ht="29.15" customHeight="1" x14ac:dyDescent="0.4">
      <c r="A116" s="8"/>
      <c r="B116" s="927"/>
      <c r="C116" s="929"/>
      <c r="D116" s="299" t="s">
        <v>0</v>
      </c>
      <c r="E116" s="498" t="s">
        <v>0</v>
      </c>
      <c r="F116" s="772" t="s">
        <v>0</v>
      </c>
      <c r="G116" s="664" t="s">
        <v>0</v>
      </c>
      <c r="H116" s="710" t="s">
        <v>8</v>
      </c>
      <c r="I116" s="711" t="s">
        <v>9</v>
      </c>
      <c r="K116" s="517"/>
      <c r="L116" s="473"/>
      <c r="M116" s="262"/>
    </row>
    <row r="117" spans="1:13" ht="14.5" x14ac:dyDescent="0.35">
      <c r="A117" s="192" t="s">
        <v>16</v>
      </c>
      <c r="B117" s="193">
        <v>45717</v>
      </c>
      <c r="C117" s="194">
        <v>1251</v>
      </c>
      <c r="D117" s="195">
        <v>0</v>
      </c>
      <c r="E117" s="196">
        <v>0</v>
      </c>
      <c r="F117" s="855">
        <v>1</v>
      </c>
      <c r="G117" s="727">
        <v>3</v>
      </c>
      <c r="H117" s="869" t="s">
        <v>319</v>
      </c>
      <c r="I117" s="744">
        <v>11</v>
      </c>
      <c r="K117" s="923" t="s">
        <v>12</v>
      </c>
      <c r="L117" s="923"/>
      <c r="M117" s="262"/>
    </row>
    <row r="118" spans="1:13" ht="14.5" x14ac:dyDescent="0.35">
      <c r="A118" s="192" t="s">
        <v>18</v>
      </c>
      <c r="B118" s="193">
        <v>45718</v>
      </c>
      <c r="C118" s="212"/>
      <c r="D118" s="213"/>
      <c r="E118" s="203"/>
      <c r="F118" s="203"/>
      <c r="G118" s="611"/>
      <c r="H118" s="736"/>
      <c r="I118" s="745"/>
      <c r="K118" s="513" t="s">
        <v>15</v>
      </c>
      <c r="L118" s="409">
        <v>35000</v>
      </c>
      <c r="M118" s="262"/>
    </row>
    <row r="119" spans="1:13" ht="14.5" x14ac:dyDescent="0.35">
      <c r="A119" s="192" t="s">
        <v>20</v>
      </c>
      <c r="B119" s="193">
        <v>45719</v>
      </c>
      <c r="C119" s="205">
        <v>1999</v>
      </c>
      <c r="D119" s="206">
        <v>30</v>
      </c>
      <c r="E119" s="207">
        <v>0</v>
      </c>
      <c r="F119" s="207">
        <v>0</v>
      </c>
      <c r="G119" s="612">
        <v>0</v>
      </c>
      <c r="H119" s="735" t="s">
        <v>320</v>
      </c>
      <c r="I119" s="746">
        <v>15</v>
      </c>
      <c r="K119" s="504" t="s">
        <v>17</v>
      </c>
      <c r="L119" s="411">
        <v>1000</v>
      </c>
      <c r="M119" s="262"/>
    </row>
    <row r="120" spans="1:13" ht="14.5" x14ac:dyDescent="0.35">
      <c r="A120" s="192" t="s">
        <v>22</v>
      </c>
      <c r="B120" s="193">
        <v>45720</v>
      </c>
      <c r="C120" s="209">
        <v>1239</v>
      </c>
      <c r="D120" s="210">
        <v>30</v>
      </c>
      <c r="E120" s="211">
        <v>0</v>
      </c>
      <c r="F120" s="211">
        <v>0</v>
      </c>
      <c r="G120" s="287">
        <v>0</v>
      </c>
      <c r="H120" s="743" t="s">
        <v>225</v>
      </c>
      <c r="I120" s="747">
        <v>7</v>
      </c>
      <c r="K120" s="515" t="s">
        <v>19</v>
      </c>
      <c r="L120" s="413">
        <v>15</v>
      </c>
      <c r="M120" s="262"/>
    </row>
    <row r="121" spans="1:13" ht="14.5" x14ac:dyDescent="0.35">
      <c r="A121" s="192" t="s">
        <v>24</v>
      </c>
      <c r="B121" s="193">
        <v>45721</v>
      </c>
      <c r="C121" s="205">
        <v>1276</v>
      </c>
      <c r="D121" s="206">
        <v>30</v>
      </c>
      <c r="E121" s="207">
        <v>0</v>
      </c>
      <c r="F121" s="207">
        <v>0</v>
      </c>
      <c r="G121" s="612">
        <v>0</v>
      </c>
      <c r="H121" s="735" t="s">
        <v>321</v>
      </c>
      <c r="I121" s="746">
        <v>5</v>
      </c>
      <c r="K121" s="838"/>
      <c r="L121" s="839"/>
      <c r="M121" s="262"/>
    </row>
    <row r="122" spans="1:13" ht="14.5" x14ac:dyDescent="0.35">
      <c r="A122" s="192" t="s">
        <v>10</v>
      </c>
      <c r="B122" s="193">
        <v>45722</v>
      </c>
      <c r="C122" s="212">
        <v>423</v>
      </c>
      <c r="D122" s="213">
        <v>30</v>
      </c>
      <c r="E122" s="203">
        <v>0</v>
      </c>
      <c r="F122" s="203">
        <v>0</v>
      </c>
      <c r="G122" s="611">
        <v>1</v>
      </c>
      <c r="H122" s="734" t="s">
        <v>322</v>
      </c>
      <c r="I122" s="745">
        <v>3</v>
      </c>
      <c r="K122" s="517"/>
      <c r="L122" s="473"/>
      <c r="M122" s="262"/>
    </row>
    <row r="123" spans="1:13" ht="14.5" x14ac:dyDescent="0.35">
      <c r="A123" s="192" t="s">
        <v>13</v>
      </c>
      <c r="B123" s="193">
        <v>45723</v>
      </c>
      <c r="C123" s="214">
        <v>802</v>
      </c>
      <c r="D123" s="195">
        <v>0</v>
      </c>
      <c r="E123" s="215">
        <v>0</v>
      </c>
      <c r="F123" s="215">
        <v>0</v>
      </c>
      <c r="G123" s="615">
        <v>1</v>
      </c>
      <c r="H123" s="736" t="s">
        <v>323</v>
      </c>
      <c r="I123" s="748">
        <v>7</v>
      </c>
      <c r="K123" s="517"/>
      <c r="L123" s="473"/>
      <c r="M123" s="262"/>
    </row>
    <row r="124" spans="1:13" ht="14.5" x14ac:dyDescent="0.35">
      <c r="A124" s="192" t="s">
        <v>16</v>
      </c>
      <c r="B124" s="193">
        <v>45724</v>
      </c>
      <c r="C124" s="217">
        <v>2019</v>
      </c>
      <c r="D124" s="218">
        <v>0</v>
      </c>
      <c r="E124" s="219">
        <v>0</v>
      </c>
      <c r="F124" s="219">
        <v>0</v>
      </c>
      <c r="G124" s="691">
        <v>2</v>
      </c>
      <c r="H124" s="737" t="s">
        <v>324</v>
      </c>
      <c r="I124" s="749">
        <v>13</v>
      </c>
      <c r="K124" s="517"/>
      <c r="L124" s="473"/>
      <c r="M124" s="262"/>
    </row>
    <row r="125" spans="1:13" ht="14.5" x14ac:dyDescent="0.35">
      <c r="A125" s="192" t="s">
        <v>18</v>
      </c>
      <c r="B125" s="193">
        <v>45725</v>
      </c>
      <c r="C125" s="221"/>
      <c r="D125" s="222"/>
      <c r="E125" s="223"/>
      <c r="F125" s="223"/>
      <c r="G125" s="692"/>
      <c r="H125" s="738"/>
      <c r="I125" s="750"/>
      <c r="K125" s="517"/>
      <c r="L125" s="473"/>
      <c r="M125" s="262"/>
    </row>
    <row r="126" spans="1:13" ht="14.5" x14ac:dyDescent="0.35">
      <c r="A126" s="192" t="s">
        <v>20</v>
      </c>
      <c r="B126" s="193">
        <v>45726</v>
      </c>
      <c r="C126" s="225">
        <v>1969</v>
      </c>
      <c r="D126" s="226">
        <v>0</v>
      </c>
      <c r="E126" s="227">
        <v>0</v>
      </c>
      <c r="F126" s="227">
        <v>0</v>
      </c>
      <c r="G126" s="693">
        <v>1</v>
      </c>
      <c r="H126" s="739" t="s">
        <v>325</v>
      </c>
      <c r="I126" s="751">
        <v>12</v>
      </c>
      <c r="K126" s="517"/>
      <c r="L126" s="473"/>
      <c r="M126" s="262"/>
    </row>
    <row r="127" spans="1:13" ht="14.5" x14ac:dyDescent="0.35">
      <c r="A127" s="192" t="s">
        <v>22</v>
      </c>
      <c r="B127" s="193">
        <v>45727</v>
      </c>
      <c r="C127" s="229">
        <v>198</v>
      </c>
      <c r="D127" s="230">
        <v>25</v>
      </c>
      <c r="E127" s="231">
        <v>0</v>
      </c>
      <c r="F127" s="231">
        <v>0</v>
      </c>
      <c r="G127" s="694">
        <v>0</v>
      </c>
      <c r="H127" s="740" t="s">
        <v>326</v>
      </c>
      <c r="I127" s="752">
        <v>3</v>
      </c>
      <c r="K127" s="517"/>
      <c r="L127" s="473"/>
      <c r="M127" s="262"/>
    </row>
    <row r="128" spans="1:13" ht="14.5" x14ac:dyDescent="0.35">
      <c r="A128" s="192" t="s">
        <v>24</v>
      </c>
      <c r="B128" s="193">
        <v>45728</v>
      </c>
      <c r="C128" s="225">
        <v>1605</v>
      </c>
      <c r="D128" s="226">
        <v>25</v>
      </c>
      <c r="E128" s="227">
        <v>0</v>
      </c>
      <c r="F128" s="227">
        <v>0</v>
      </c>
      <c r="G128" s="693">
        <v>0</v>
      </c>
      <c r="H128" s="739" t="s">
        <v>327</v>
      </c>
      <c r="I128" s="751">
        <v>7</v>
      </c>
      <c r="K128" s="262"/>
      <c r="L128" s="262"/>
      <c r="M128" s="262"/>
    </row>
    <row r="129" spans="1:13" ht="14.5" x14ac:dyDescent="0.35">
      <c r="A129" s="192" t="s">
        <v>10</v>
      </c>
      <c r="B129" s="193">
        <v>45729</v>
      </c>
      <c r="C129" s="233">
        <v>948</v>
      </c>
      <c r="D129" s="234">
        <v>0</v>
      </c>
      <c r="E129" s="235">
        <v>0</v>
      </c>
      <c r="F129" s="235">
        <v>0</v>
      </c>
      <c r="G129" s="481">
        <v>0</v>
      </c>
      <c r="H129" s="741" t="s">
        <v>73</v>
      </c>
      <c r="I129" s="753">
        <v>7</v>
      </c>
      <c r="K129" s="262"/>
      <c r="L129" s="262"/>
      <c r="M129" s="262"/>
    </row>
    <row r="130" spans="1:13" ht="14.5" x14ac:dyDescent="0.35">
      <c r="A130" s="192" t="s">
        <v>13</v>
      </c>
      <c r="B130" s="193">
        <v>45730</v>
      </c>
      <c r="C130" s="225">
        <v>520</v>
      </c>
      <c r="D130" s="226">
        <v>0</v>
      </c>
      <c r="E130" s="227">
        <v>0</v>
      </c>
      <c r="F130" s="227">
        <v>0</v>
      </c>
      <c r="G130" s="693">
        <v>0</v>
      </c>
      <c r="H130" s="739" t="s">
        <v>328</v>
      </c>
      <c r="I130" s="751">
        <v>6</v>
      </c>
      <c r="K130" s="262"/>
      <c r="L130" s="262"/>
      <c r="M130" s="262"/>
    </row>
    <row r="131" spans="1:13" ht="14.5" x14ac:dyDescent="0.35">
      <c r="A131" s="192" t="s">
        <v>16</v>
      </c>
      <c r="B131" s="193">
        <v>45731</v>
      </c>
      <c r="C131" s="233">
        <v>402</v>
      </c>
      <c r="D131" s="195">
        <v>0</v>
      </c>
      <c r="E131" s="215">
        <v>0</v>
      </c>
      <c r="F131" s="215">
        <v>0</v>
      </c>
      <c r="G131" s="615">
        <v>1</v>
      </c>
      <c r="H131" s="736" t="s">
        <v>329</v>
      </c>
      <c r="I131" s="748">
        <v>4</v>
      </c>
      <c r="K131" s="262"/>
      <c r="L131" s="262"/>
      <c r="M131" s="262"/>
    </row>
    <row r="132" spans="1:13" ht="14.5" x14ac:dyDescent="0.35">
      <c r="A132" s="192" t="s">
        <v>18</v>
      </c>
      <c r="B132" s="193">
        <v>45732</v>
      </c>
      <c r="C132" s="209"/>
      <c r="D132" s="213"/>
      <c r="E132" s="203"/>
      <c r="F132" s="203"/>
      <c r="G132" s="611"/>
      <c r="H132" s="734"/>
      <c r="I132" s="745"/>
      <c r="K132" s="262"/>
      <c r="L132" s="262"/>
      <c r="M132" s="262"/>
    </row>
    <row r="133" spans="1:13" ht="14.5" x14ac:dyDescent="0.35">
      <c r="A133" s="192" t="s">
        <v>20</v>
      </c>
      <c r="B133" s="193">
        <v>45733</v>
      </c>
      <c r="C133" s="233">
        <v>1245</v>
      </c>
      <c r="D133" s="234">
        <v>30</v>
      </c>
      <c r="E133" s="215">
        <v>0</v>
      </c>
      <c r="F133" s="215">
        <v>2</v>
      </c>
      <c r="G133" s="615">
        <v>0</v>
      </c>
      <c r="H133" s="736" t="s">
        <v>330</v>
      </c>
      <c r="I133" s="748">
        <v>14</v>
      </c>
      <c r="K133" s="262"/>
      <c r="L133" s="262"/>
      <c r="M133" s="262"/>
    </row>
    <row r="134" spans="1:13" ht="14.5" x14ac:dyDescent="0.35">
      <c r="A134" s="192" t="s">
        <v>22</v>
      </c>
      <c r="B134" s="193">
        <v>45734</v>
      </c>
      <c r="C134" s="237">
        <v>1754</v>
      </c>
      <c r="D134" s="270">
        <v>0</v>
      </c>
      <c r="E134" s="239">
        <v>0</v>
      </c>
      <c r="F134" s="239">
        <v>1</v>
      </c>
      <c r="G134" s="695">
        <v>0</v>
      </c>
      <c r="H134" s="742" t="s">
        <v>331</v>
      </c>
      <c r="I134" s="754">
        <v>11</v>
      </c>
      <c r="K134" s="262"/>
      <c r="L134" s="262"/>
      <c r="M134" s="262"/>
    </row>
    <row r="135" spans="1:13" ht="14.5" x14ac:dyDescent="0.35">
      <c r="A135" s="192" t="s">
        <v>24</v>
      </c>
      <c r="B135" s="193">
        <v>45735</v>
      </c>
      <c r="C135" s="214">
        <v>2220</v>
      </c>
      <c r="D135" s="195">
        <v>25</v>
      </c>
      <c r="E135" s="215">
        <v>0</v>
      </c>
      <c r="F135" s="215">
        <v>0</v>
      </c>
      <c r="G135" s="615">
        <v>2</v>
      </c>
      <c r="H135" s="736" t="s">
        <v>332</v>
      </c>
      <c r="I135" s="748">
        <v>13</v>
      </c>
      <c r="K135" s="262"/>
      <c r="L135" s="262"/>
      <c r="M135" s="262"/>
    </row>
    <row r="136" spans="1:13" ht="14.5" x14ac:dyDescent="0.35">
      <c r="A136" s="192" t="s">
        <v>10</v>
      </c>
      <c r="B136" s="193">
        <v>45736</v>
      </c>
      <c r="C136" s="237">
        <v>1172</v>
      </c>
      <c r="D136" s="238">
        <v>30</v>
      </c>
      <c r="E136" s="239">
        <v>0</v>
      </c>
      <c r="F136" s="239">
        <v>0</v>
      </c>
      <c r="G136" s="695">
        <v>0</v>
      </c>
      <c r="H136" s="742" t="s">
        <v>332</v>
      </c>
      <c r="I136" s="754">
        <v>11</v>
      </c>
      <c r="K136" s="262"/>
      <c r="L136" s="262"/>
      <c r="M136" s="262"/>
    </row>
    <row r="137" spans="1:13" ht="14.5" x14ac:dyDescent="0.35">
      <c r="A137" s="192" t="s">
        <v>13</v>
      </c>
      <c r="B137" s="193">
        <v>45737</v>
      </c>
      <c r="C137" s="205">
        <v>2081</v>
      </c>
      <c r="D137" s="206">
        <v>50</v>
      </c>
      <c r="E137" s="207">
        <v>0</v>
      </c>
      <c r="F137" s="207">
        <v>0</v>
      </c>
      <c r="G137" s="612">
        <v>1</v>
      </c>
      <c r="H137" s="735" t="s">
        <v>242</v>
      </c>
      <c r="I137" s="746">
        <v>9</v>
      </c>
      <c r="K137" s="262"/>
      <c r="L137" s="262"/>
      <c r="M137" s="262"/>
    </row>
    <row r="138" spans="1:13" ht="14.5" x14ac:dyDescent="0.35">
      <c r="A138" s="192" t="s">
        <v>16</v>
      </c>
      <c r="B138" s="193">
        <v>45738</v>
      </c>
      <c r="C138" s="209">
        <v>1626</v>
      </c>
      <c r="D138" s="210">
        <v>25</v>
      </c>
      <c r="E138" s="211">
        <v>0</v>
      </c>
      <c r="F138" s="211">
        <v>1</v>
      </c>
      <c r="G138" s="287">
        <v>1</v>
      </c>
      <c r="H138" s="743" t="s">
        <v>333</v>
      </c>
      <c r="I138" s="747">
        <v>11</v>
      </c>
      <c r="K138" s="262"/>
      <c r="L138" s="262"/>
      <c r="M138" s="262"/>
    </row>
    <row r="139" spans="1:13" ht="14.5" x14ac:dyDescent="0.35">
      <c r="A139" s="192" t="s">
        <v>18</v>
      </c>
      <c r="B139" s="193">
        <v>45739</v>
      </c>
      <c r="C139" s="233"/>
      <c r="D139" s="234"/>
      <c r="E139" s="235"/>
      <c r="F139" s="235"/>
      <c r="G139" s="481"/>
      <c r="H139" s="741"/>
      <c r="I139" s="753"/>
      <c r="K139" s="262"/>
      <c r="L139" s="262"/>
      <c r="M139" s="262"/>
    </row>
    <row r="140" spans="1:13" ht="14.5" x14ac:dyDescent="0.35">
      <c r="A140" s="192" t="s">
        <v>20</v>
      </c>
      <c r="B140" s="193">
        <v>45740</v>
      </c>
      <c r="C140" s="237">
        <v>1605</v>
      </c>
      <c r="D140" s="238">
        <v>0</v>
      </c>
      <c r="E140" s="239">
        <v>0</v>
      </c>
      <c r="F140" s="239">
        <v>0</v>
      </c>
      <c r="G140" s="695">
        <v>0</v>
      </c>
      <c r="H140" s="742" t="s">
        <v>333</v>
      </c>
      <c r="I140" s="754">
        <v>13</v>
      </c>
      <c r="K140" s="262"/>
      <c r="L140" s="262"/>
      <c r="M140" s="262"/>
    </row>
    <row r="141" spans="1:13" ht="14.5" x14ac:dyDescent="0.35">
      <c r="A141" s="192" t="s">
        <v>22</v>
      </c>
      <c r="B141" s="193">
        <v>45741</v>
      </c>
      <c r="C141" s="233">
        <v>290</v>
      </c>
      <c r="D141" s="234">
        <v>0</v>
      </c>
      <c r="E141" s="235">
        <v>0</v>
      </c>
      <c r="F141" s="235">
        <v>0</v>
      </c>
      <c r="G141" s="481">
        <v>1</v>
      </c>
      <c r="H141" s="741" t="s">
        <v>333</v>
      </c>
      <c r="I141" s="753">
        <v>3</v>
      </c>
      <c r="K141" s="262"/>
      <c r="L141" s="262"/>
      <c r="M141" s="262"/>
    </row>
    <row r="142" spans="1:13" ht="14.5" x14ac:dyDescent="0.35">
      <c r="A142" s="192" t="s">
        <v>24</v>
      </c>
      <c r="B142" s="193">
        <v>45742</v>
      </c>
      <c r="C142" s="209">
        <v>1662</v>
      </c>
      <c r="D142" s="210">
        <v>20</v>
      </c>
      <c r="E142" s="211">
        <v>0</v>
      </c>
      <c r="F142" s="211">
        <v>0</v>
      </c>
      <c r="G142" s="287">
        <v>0</v>
      </c>
      <c r="H142" s="743" t="s">
        <v>334</v>
      </c>
      <c r="I142" s="747">
        <v>13</v>
      </c>
      <c r="K142" s="262"/>
      <c r="L142" s="262"/>
      <c r="M142" s="262"/>
    </row>
    <row r="143" spans="1:13" ht="14.5" x14ac:dyDescent="0.35">
      <c r="A143" s="192" t="s">
        <v>10</v>
      </c>
      <c r="B143" s="193">
        <v>45743</v>
      </c>
      <c r="C143" s="214">
        <v>549</v>
      </c>
      <c r="D143" s="195">
        <v>0</v>
      </c>
      <c r="E143" s="215">
        <v>0</v>
      </c>
      <c r="F143" s="215">
        <v>0</v>
      </c>
      <c r="G143" s="262">
        <v>0</v>
      </c>
      <c r="H143" s="741" t="s">
        <v>334</v>
      </c>
      <c r="I143" s="756">
        <v>4</v>
      </c>
      <c r="K143" s="262"/>
      <c r="L143" s="262"/>
      <c r="M143" s="262"/>
    </row>
    <row r="144" spans="1:13" ht="14.5" x14ac:dyDescent="0.35">
      <c r="A144" s="192" t="s">
        <v>13</v>
      </c>
      <c r="B144" s="193">
        <v>45744</v>
      </c>
      <c r="C144" s="212">
        <v>1468</v>
      </c>
      <c r="D144" s="213">
        <v>24</v>
      </c>
      <c r="E144" s="203">
        <v>0</v>
      </c>
      <c r="F144" s="203">
        <v>0</v>
      </c>
      <c r="G144" s="611">
        <v>3</v>
      </c>
      <c r="H144" s="734" t="s">
        <v>80</v>
      </c>
      <c r="I144" s="745">
        <v>24</v>
      </c>
      <c r="K144" s="262"/>
      <c r="L144" s="262"/>
      <c r="M144" s="262"/>
    </row>
    <row r="145" spans="1:20" ht="14.5" x14ac:dyDescent="0.35">
      <c r="A145" s="192" t="s">
        <v>16</v>
      </c>
      <c r="B145" s="193">
        <v>45745</v>
      </c>
      <c r="C145" s="233">
        <v>857</v>
      </c>
      <c r="D145" s="195">
        <v>0</v>
      </c>
      <c r="E145" s="215">
        <v>0</v>
      </c>
      <c r="F145" s="247">
        <v>0</v>
      </c>
      <c r="G145" s="615">
        <v>1</v>
      </c>
      <c r="H145" s="736" t="s">
        <v>242</v>
      </c>
      <c r="I145" s="748">
        <v>10</v>
      </c>
      <c r="K145" s="262"/>
      <c r="L145" s="262"/>
      <c r="M145" s="262"/>
    </row>
    <row r="146" spans="1:20" ht="14.5" x14ac:dyDescent="0.35">
      <c r="A146" s="192" t="s">
        <v>18</v>
      </c>
      <c r="B146" s="193">
        <v>45746</v>
      </c>
      <c r="C146" s="212"/>
      <c r="D146" s="213"/>
      <c r="E146" s="203"/>
      <c r="F146" s="203"/>
      <c r="G146" s="611"/>
      <c r="H146" s="734"/>
      <c r="I146" s="745"/>
      <c r="K146" s="262"/>
      <c r="L146" s="262"/>
      <c r="M146" s="262"/>
    </row>
    <row r="147" spans="1:20" thickBot="1" x14ac:dyDescent="0.4">
      <c r="A147" s="192" t="s">
        <v>20</v>
      </c>
      <c r="B147" s="193">
        <v>45747</v>
      </c>
      <c r="C147" s="264">
        <v>819</v>
      </c>
      <c r="D147" s="265">
        <v>0</v>
      </c>
      <c r="E147" s="266">
        <v>0</v>
      </c>
      <c r="F147" s="266">
        <v>0</v>
      </c>
      <c r="G147" s="696">
        <v>0</v>
      </c>
      <c r="H147" s="870" t="s">
        <v>239</v>
      </c>
      <c r="I147" s="755">
        <v>7</v>
      </c>
      <c r="K147" s="262"/>
      <c r="L147" s="262"/>
      <c r="M147" s="262"/>
    </row>
    <row r="148" spans="1:20" thickBot="1" x14ac:dyDescent="0.4">
      <c r="A148" s="257"/>
      <c r="B148" s="268"/>
      <c r="C148" s="258">
        <f t="shared" ref="C148:F148" si="3">SUM(C117:C147)</f>
        <v>31999</v>
      </c>
      <c r="D148" s="259">
        <f t="shared" si="3"/>
        <v>374</v>
      </c>
      <c r="E148" s="260">
        <f t="shared" si="3"/>
        <v>0</v>
      </c>
      <c r="F148" s="884">
        <f t="shared" si="3"/>
        <v>5</v>
      </c>
      <c r="G148" s="885">
        <f>SUM(G117:G147)</f>
        <v>18</v>
      </c>
      <c r="H148" s="886" t="s">
        <v>219</v>
      </c>
      <c r="I148" s="887"/>
      <c r="K148" s="262"/>
      <c r="L148" s="262"/>
      <c r="M148" s="262"/>
    </row>
    <row r="149" spans="1:20" ht="14.5" x14ac:dyDescent="0.35">
      <c r="A149" s="262"/>
      <c r="B149" s="474"/>
      <c r="C149" s="475"/>
      <c r="D149" s="475"/>
      <c r="E149" s="476"/>
      <c r="F149" s="476"/>
      <c r="G149" s="477"/>
      <c r="H149" s="477"/>
      <c r="I149" s="262"/>
      <c r="J149" s="262"/>
      <c r="K149" s="262"/>
      <c r="L149" s="262"/>
      <c r="M149" s="262"/>
    </row>
    <row r="150" spans="1:20" ht="14.5" x14ac:dyDescent="0.35">
      <c r="A150" s="262"/>
      <c r="B150" s="474"/>
      <c r="C150" s="475"/>
      <c r="D150" s="475"/>
      <c r="E150" s="477"/>
      <c r="F150" s="477"/>
      <c r="G150" s="477"/>
      <c r="H150" s="477"/>
      <c r="I150" s="262"/>
      <c r="J150" s="262"/>
      <c r="K150" s="262"/>
      <c r="L150" s="262"/>
      <c r="M150" s="262"/>
    </row>
    <row r="151" spans="1:20" ht="14.5" x14ac:dyDescent="0.35">
      <c r="A151" s="262"/>
      <c r="B151" s="474"/>
      <c r="C151" s="475"/>
      <c r="D151" s="475"/>
      <c r="E151" s="477"/>
      <c r="F151" s="477"/>
      <c r="G151" s="477"/>
      <c r="H151" s="477"/>
      <c r="I151" s="262"/>
      <c r="J151" s="262"/>
      <c r="K151" s="262"/>
      <c r="L151" s="262"/>
      <c r="M151" s="262"/>
    </row>
    <row r="152" spans="1:20" ht="14.5" x14ac:dyDescent="0.35">
      <c r="A152" s="924" t="s">
        <v>85</v>
      </c>
      <c r="B152" s="924"/>
      <c r="C152" s="919" t="s">
        <v>1</v>
      </c>
      <c r="D152" s="919"/>
      <c r="E152" s="919"/>
      <c r="F152" s="908"/>
      <c r="G152" s="857"/>
      <c r="H152" s="924" t="s">
        <v>85</v>
      </c>
      <c r="I152" s="924"/>
      <c r="J152" s="919" t="s">
        <v>86</v>
      </c>
      <c r="K152" s="919"/>
      <c r="L152" s="919"/>
      <c r="M152" s="909"/>
      <c r="O152" s="924" t="s">
        <v>85</v>
      </c>
      <c r="P152" s="924"/>
      <c r="Q152" s="919" t="s">
        <v>87</v>
      </c>
      <c r="R152" s="919"/>
      <c r="S152" s="919"/>
      <c r="T152" s="909"/>
    </row>
    <row r="153" spans="1:20" ht="14.5" x14ac:dyDescent="0.35">
      <c r="A153" s="924"/>
      <c r="B153" s="924"/>
      <c r="C153" s="920"/>
      <c r="D153" s="920"/>
      <c r="E153" s="920"/>
      <c r="F153" s="907"/>
      <c r="G153" s="262"/>
      <c r="H153" s="924"/>
      <c r="I153" s="924"/>
      <c r="J153" s="920"/>
      <c r="K153" s="920"/>
      <c r="L153" s="920"/>
      <c r="M153" s="907"/>
      <c r="O153" s="924"/>
      <c r="P153" s="924"/>
      <c r="Q153" s="920"/>
      <c r="R153" s="920"/>
      <c r="S153" s="920"/>
      <c r="T153" s="907"/>
    </row>
    <row r="154" spans="1:20" ht="14.5" customHeight="1" x14ac:dyDescent="0.4">
      <c r="A154" s="924"/>
      <c r="B154" s="924"/>
      <c r="C154" s="921" t="s">
        <v>88</v>
      </c>
      <c r="D154" s="272" t="s">
        <v>89</v>
      </c>
      <c r="E154" s="905" t="s">
        <v>90</v>
      </c>
      <c r="F154" s="903" t="s">
        <v>91</v>
      </c>
      <c r="G154" s="262"/>
      <c r="H154" s="924"/>
      <c r="I154" s="924"/>
      <c r="J154" s="921" t="s">
        <v>88</v>
      </c>
      <c r="K154" s="272" t="s">
        <v>89</v>
      </c>
      <c r="L154" s="273" t="s">
        <v>90</v>
      </c>
      <c r="M154" s="903" t="s">
        <v>91</v>
      </c>
      <c r="O154" s="924"/>
      <c r="P154" s="924"/>
      <c r="Q154" s="921" t="s">
        <v>88</v>
      </c>
      <c r="R154" s="272" t="s">
        <v>89</v>
      </c>
      <c r="S154" s="273" t="s">
        <v>90</v>
      </c>
      <c r="T154" s="903" t="s">
        <v>91</v>
      </c>
    </row>
    <row r="155" spans="1:20" ht="15" customHeight="1" x14ac:dyDescent="0.35">
      <c r="A155" s="925"/>
      <c r="B155" s="925"/>
      <c r="C155" s="922"/>
      <c r="D155" s="840" t="s">
        <v>7</v>
      </c>
      <c r="E155" s="906" t="s">
        <v>0</v>
      </c>
      <c r="F155" s="904" t="s">
        <v>0</v>
      </c>
      <c r="G155" s="262"/>
      <c r="H155" s="925"/>
      <c r="I155" s="925"/>
      <c r="J155" s="922"/>
      <c r="K155" s="840" t="s">
        <v>7</v>
      </c>
      <c r="L155" s="841" t="s">
        <v>0</v>
      </c>
      <c r="M155" s="904" t="s">
        <v>0</v>
      </c>
      <c r="O155" s="925"/>
      <c r="P155" s="925"/>
      <c r="Q155" s="922"/>
      <c r="R155" s="840" t="s">
        <v>7</v>
      </c>
      <c r="S155" s="841" t="s">
        <v>0</v>
      </c>
      <c r="T155" s="904" t="s">
        <v>0</v>
      </c>
    </row>
    <row r="156" spans="1:20" ht="16" customHeight="1" x14ac:dyDescent="0.35">
      <c r="A156" s="192" t="s">
        <v>16</v>
      </c>
      <c r="B156" s="193">
        <v>45717</v>
      </c>
      <c r="C156" s="285">
        <v>1698</v>
      </c>
      <c r="D156" s="262">
        <v>13</v>
      </c>
      <c r="E156" s="682">
        <v>0</v>
      </c>
      <c r="F156" s="616">
        <v>0</v>
      </c>
      <c r="G156" s="262"/>
      <c r="H156" s="192" t="s">
        <v>16</v>
      </c>
      <c r="I156" s="193">
        <v>45717</v>
      </c>
      <c r="J156" s="285"/>
      <c r="K156" s="262"/>
      <c r="L156" s="682"/>
      <c r="M156" s="616"/>
      <c r="O156" s="192" t="s">
        <v>16</v>
      </c>
      <c r="P156" s="193">
        <v>45717</v>
      </c>
      <c r="Q156" s="285"/>
      <c r="R156" s="262"/>
      <c r="S156" s="682"/>
      <c r="T156" s="616"/>
    </row>
    <row r="157" spans="1:20" ht="14.5" customHeight="1" x14ac:dyDescent="0.35">
      <c r="A157" s="192" t="s">
        <v>18</v>
      </c>
      <c r="B157" s="193">
        <v>45718</v>
      </c>
      <c r="C157" s="280"/>
      <c r="D157" s="197"/>
      <c r="E157" s="675"/>
      <c r="F157" s="613"/>
      <c r="G157" s="262"/>
      <c r="H157" s="192" t="s">
        <v>18</v>
      </c>
      <c r="I157" s="193">
        <v>45718</v>
      </c>
      <c r="J157" s="280"/>
      <c r="K157" s="197"/>
      <c r="L157" s="675"/>
      <c r="M157" s="613"/>
      <c r="O157" s="192" t="s">
        <v>18</v>
      </c>
      <c r="P157" s="193">
        <v>45718</v>
      </c>
      <c r="Q157" s="280"/>
      <c r="R157" s="197"/>
      <c r="S157" s="675"/>
      <c r="T157" s="613"/>
    </row>
    <row r="158" spans="1:20" ht="14.5" x14ac:dyDescent="0.35">
      <c r="A158" s="192" t="s">
        <v>20</v>
      </c>
      <c r="B158" s="193">
        <v>45719</v>
      </c>
      <c r="C158" s="479">
        <v>2002</v>
      </c>
      <c r="D158" s="262">
        <v>12</v>
      </c>
      <c r="E158" s="681">
        <v>0</v>
      </c>
      <c r="F158" s="713">
        <v>0</v>
      </c>
      <c r="G158" s="262"/>
      <c r="H158" s="192" t="s">
        <v>20</v>
      </c>
      <c r="I158" s="193">
        <v>45719</v>
      </c>
      <c r="J158" s="479"/>
      <c r="K158" s="262"/>
      <c r="L158" s="681"/>
      <c r="M158" s="713"/>
      <c r="O158" s="192" t="s">
        <v>20</v>
      </c>
      <c r="P158" s="193">
        <v>45719</v>
      </c>
      <c r="Q158" s="479"/>
      <c r="R158" s="262"/>
      <c r="S158" s="681"/>
      <c r="T158" s="713"/>
    </row>
    <row r="159" spans="1:20" ht="14.5" x14ac:dyDescent="0.35">
      <c r="A159" s="192" t="s">
        <v>22</v>
      </c>
      <c r="B159" s="193">
        <v>45720</v>
      </c>
      <c r="C159" s="280">
        <v>580</v>
      </c>
      <c r="D159" s="197">
        <v>8</v>
      </c>
      <c r="E159" s="675">
        <v>0</v>
      </c>
      <c r="F159" s="613">
        <v>0</v>
      </c>
      <c r="G159" s="262"/>
      <c r="H159" s="192" t="s">
        <v>22</v>
      </c>
      <c r="I159" s="193">
        <v>45720</v>
      </c>
      <c r="J159" s="280"/>
      <c r="K159" s="197"/>
      <c r="L159" s="675"/>
      <c r="M159" s="613"/>
      <c r="O159" s="192" t="s">
        <v>22</v>
      </c>
      <c r="P159" s="193">
        <v>45720</v>
      </c>
      <c r="Q159" s="280"/>
      <c r="R159" s="197"/>
      <c r="S159" s="675"/>
      <c r="T159" s="613"/>
    </row>
    <row r="160" spans="1:20" ht="14.5" x14ac:dyDescent="0.35">
      <c r="A160" s="192" t="s">
        <v>24</v>
      </c>
      <c r="B160" s="193">
        <v>45721</v>
      </c>
      <c r="C160" s="283">
        <v>2212</v>
      </c>
      <c r="D160" s="262">
        <v>15</v>
      </c>
      <c r="E160" s="682">
        <v>1</v>
      </c>
      <c r="F160" s="616">
        <v>2</v>
      </c>
      <c r="G160" s="262"/>
      <c r="H160" s="192" t="s">
        <v>24</v>
      </c>
      <c r="I160" s="193">
        <v>45721</v>
      </c>
      <c r="J160" s="283"/>
      <c r="K160" s="262"/>
      <c r="L160" s="682"/>
      <c r="M160" s="616"/>
      <c r="O160" s="192" t="s">
        <v>24</v>
      </c>
      <c r="P160" s="193">
        <v>45721</v>
      </c>
      <c r="Q160" s="283"/>
      <c r="R160" s="262"/>
      <c r="S160" s="682"/>
      <c r="T160" s="616"/>
    </row>
    <row r="161" spans="1:20" ht="14.5" x14ac:dyDescent="0.35">
      <c r="A161" s="192" t="s">
        <v>10</v>
      </c>
      <c r="B161" s="193">
        <v>45722</v>
      </c>
      <c r="C161" s="283">
        <v>490</v>
      </c>
      <c r="D161" s="197">
        <v>15</v>
      </c>
      <c r="E161" s="682">
        <v>0</v>
      </c>
      <c r="F161" s="616">
        <v>0</v>
      </c>
      <c r="G161" s="262"/>
      <c r="H161" s="192" t="s">
        <v>10</v>
      </c>
      <c r="I161" s="193">
        <v>45722</v>
      </c>
      <c r="J161" s="283"/>
      <c r="K161" s="197"/>
      <c r="L161" s="682"/>
      <c r="M161" s="616"/>
      <c r="O161" s="192" t="s">
        <v>10</v>
      </c>
      <c r="P161" s="193">
        <v>45722</v>
      </c>
      <c r="Q161" s="283"/>
      <c r="R161" s="197"/>
      <c r="S161" s="682"/>
      <c r="T161" s="616"/>
    </row>
    <row r="162" spans="1:20" ht="14.5" x14ac:dyDescent="0.35">
      <c r="A162" s="192" t="s">
        <v>13</v>
      </c>
      <c r="B162" s="193">
        <v>45723</v>
      </c>
      <c r="C162" s="480">
        <v>240</v>
      </c>
      <c r="D162" s="262">
        <v>8</v>
      </c>
      <c r="E162" s="680">
        <v>0</v>
      </c>
      <c r="F162" s="714">
        <v>0</v>
      </c>
      <c r="G162" s="262"/>
      <c r="H162" s="192" t="s">
        <v>13</v>
      </c>
      <c r="I162" s="193">
        <v>45723</v>
      </c>
      <c r="J162" s="480"/>
      <c r="K162" s="262"/>
      <c r="L162" s="680"/>
      <c r="M162" s="714"/>
      <c r="O162" s="192" t="s">
        <v>13</v>
      </c>
      <c r="P162" s="193">
        <v>45723</v>
      </c>
      <c r="Q162" s="480"/>
      <c r="R162" s="262"/>
      <c r="S162" s="680"/>
      <c r="T162" s="714"/>
    </row>
    <row r="163" spans="1:20" ht="14.5" x14ac:dyDescent="0.35">
      <c r="A163" s="192" t="s">
        <v>16</v>
      </c>
      <c r="B163" s="193">
        <v>45724</v>
      </c>
      <c r="C163" s="285">
        <v>785</v>
      </c>
      <c r="D163" s="197">
        <v>15</v>
      </c>
      <c r="E163" s="678">
        <v>0</v>
      </c>
      <c r="F163" s="715">
        <v>0</v>
      </c>
      <c r="G163" s="262"/>
      <c r="H163" s="192" t="s">
        <v>16</v>
      </c>
      <c r="I163" s="193">
        <v>45724</v>
      </c>
      <c r="J163" s="285"/>
      <c r="K163" s="197"/>
      <c r="L163" s="678"/>
      <c r="M163" s="715"/>
      <c r="O163" s="192" t="s">
        <v>16</v>
      </c>
      <c r="P163" s="193">
        <v>45724</v>
      </c>
      <c r="Q163" s="285"/>
      <c r="R163" s="197"/>
      <c r="S163" s="678"/>
      <c r="T163" s="715"/>
    </row>
    <row r="164" spans="1:20" ht="14.5" x14ac:dyDescent="0.35">
      <c r="A164" s="192" t="s">
        <v>18</v>
      </c>
      <c r="B164" s="193">
        <v>45725</v>
      </c>
      <c r="C164" s="285"/>
      <c r="D164" s="262"/>
      <c r="E164" s="678"/>
      <c r="F164" s="715"/>
      <c r="G164" s="262"/>
      <c r="H164" s="192" t="s">
        <v>18</v>
      </c>
      <c r="I164" s="193">
        <v>45725</v>
      </c>
      <c r="J164" s="285"/>
      <c r="K164" s="262"/>
      <c r="L164" s="678"/>
      <c r="M164" s="715"/>
      <c r="O164" s="192" t="s">
        <v>18</v>
      </c>
      <c r="P164" s="193">
        <v>45725</v>
      </c>
      <c r="Q164" s="285"/>
      <c r="R164" s="262"/>
      <c r="S164" s="678"/>
      <c r="T164" s="715"/>
    </row>
    <row r="165" spans="1:20" ht="14.5" x14ac:dyDescent="0.35">
      <c r="A165" s="192" t="s">
        <v>20</v>
      </c>
      <c r="B165" s="193">
        <v>45726</v>
      </c>
      <c r="C165" s="285">
        <v>4847</v>
      </c>
      <c r="D165" s="197">
        <v>15</v>
      </c>
      <c r="E165" s="680">
        <v>0</v>
      </c>
      <c r="F165" s="714">
        <v>1</v>
      </c>
      <c r="G165" s="262"/>
      <c r="H165" s="192" t="s">
        <v>20</v>
      </c>
      <c r="I165" s="193">
        <v>45726</v>
      </c>
      <c r="J165" s="285"/>
      <c r="K165" s="197"/>
      <c r="L165" s="680"/>
      <c r="M165" s="714"/>
      <c r="O165" s="192" t="s">
        <v>20</v>
      </c>
      <c r="P165" s="193">
        <v>45726</v>
      </c>
      <c r="Q165" s="285"/>
      <c r="R165" s="197"/>
      <c r="S165" s="680"/>
      <c r="T165" s="714"/>
    </row>
    <row r="166" spans="1:20" ht="14.5" x14ac:dyDescent="0.35">
      <c r="A166" s="192" t="s">
        <v>22</v>
      </c>
      <c r="B166" s="193">
        <v>45727</v>
      </c>
      <c r="C166" s="285">
        <v>4134</v>
      </c>
      <c r="D166" s="262">
        <v>13</v>
      </c>
      <c r="E166" s="678">
        <v>0</v>
      </c>
      <c r="F166" s="715">
        <v>0</v>
      </c>
      <c r="G166" s="262"/>
      <c r="H166" s="192" t="s">
        <v>22</v>
      </c>
      <c r="I166" s="193">
        <v>45727</v>
      </c>
      <c r="J166" s="285"/>
      <c r="K166" s="262"/>
      <c r="L166" s="678"/>
      <c r="M166" s="715"/>
      <c r="O166" s="192" t="s">
        <v>22</v>
      </c>
      <c r="P166" s="193">
        <v>45727</v>
      </c>
      <c r="Q166" s="285"/>
      <c r="R166" s="262"/>
      <c r="S166" s="678"/>
      <c r="T166" s="715"/>
    </row>
    <row r="167" spans="1:20" ht="14.5" customHeight="1" x14ac:dyDescent="0.35">
      <c r="A167" s="192" t="s">
        <v>24</v>
      </c>
      <c r="B167" s="193">
        <v>45728</v>
      </c>
      <c r="C167" s="285">
        <v>841</v>
      </c>
      <c r="D167" s="197">
        <v>13</v>
      </c>
      <c r="E167" s="678">
        <v>0</v>
      </c>
      <c r="F167" s="713">
        <v>0</v>
      </c>
      <c r="G167" s="262"/>
      <c r="H167" s="192" t="s">
        <v>24</v>
      </c>
      <c r="I167" s="193">
        <v>45728</v>
      </c>
      <c r="J167" s="285"/>
      <c r="K167" s="197"/>
      <c r="L167" s="678"/>
      <c r="M167" s="713"/>
      <c r="O167" s="192" t="s">
        <v>24</v>
      </c>
      <c r="P167" s="193">
        <v>45728</v>
      </c>
      <c r="Q167" s="285"/>
      <c r="R167" s="197"/>
      <c r="S167" s="678"/>
      <c r="T167" s="713"/>
    </row>
    <row r="168" spans="1:20" ht="15" customHeight="1" x14ac:dyDescent="0.35">
      <c r="A168" s="192" t="s">
        <v>10</v>
      </c>
      <c r="B168" s="193">
        <v>45729</v>
      </c>
      <c r="C168" s="285">
        <v>3676</v>
      </c>
      <c r="D168" s="262">
        <v>14</v>
      </c>
      <c r="E168" s="678">
        <v>2</v>
      </c>
      <c r="F168" s="715">
        <v>0</v>
      </c>
      <c r="G168" s="262"/>
      <c r="H168" s="192" t="s">
        <v>10</v>
      </c>
      <c r="I168" s="193">
        <v>45729</v>
      </c>
      <c r="J168" s="285"/>
      <c r="K168" s="262"/>
      <c r="L168" s="678"/>
      <c r="M168" s="715"/>
      <c r="O168" s="192" t="s">
        <v>10</v>
      </c>
      <c r="P168" s="193">
        <v>45729</v>
      </c>
      <c r="Q168" s="285"/>
      <c r="R168" s="262"/>
      <c r="S168" s="678"/>
      <c r="T168" s="715"/>
    </row>
    <row r="169" spans="1:20" ht="16" customHeight="1" x14ac:dyDescent="0.35">
      <c r="A169" s="192" t="s">
        <v>13</v>
      </c>
      <c r="B169" s="193">
        <v>45730</v>
      </c>
      <c r="C169" s="285">
        <v>1592</v>
      </c>
      <c r="D169" s="197">
        <v>12</v>
      </c>
      <c r="E169" s="681">
        <v>1</v>
      </c>
      <c r="F169" s="713">
        <v>0</v>
      </c>
      <c r="G169" s="262"/>
      <c r="H169" s="192" t="s">
        <v>13</v>
      </c>
      <c r="I169" s="193">
        <v>45730</v>
      </c>
      <c r="J169" s="285"/>
      <c r="K169" s="197"/>
      <c r="L169" s="681"/>
      <c r="M169" s="713"/>
      <c r="O169" s="192" t="s">
        <v>13</v>
      </c>
      <c r="P169" s="193">
        <v>45730</v>
      </c>
      <c r="Q169" s="285"/>
      <c r="R169" s="197"/>
      <c r="S169" s="681"/>
      <c r="T169" s="713"/>
    </row>
    <row r="170" spans="1:20" ht="14.5" customHeight="1" x14ac:dyDescent="0.35">
      <c r="A170" s="192" t="s">
        <v>16</v>
      </c>
      <c r="B170" s="193">
        <v>45731</v>
      </c>
      <c r="C170" s="285">
        <v>203</v>
      </c>
      <c r="D170" s="262">
        <v>9</v>
      </c>
      <c r="E170" s="682">
        <v>0</v>
      </c>
      <c r="F170" s="616">
        <v>1</v>
      </c>
      <c r="G170" s="262"/>
      <c r="H170" s="192" t="s">
        <v>16</v>
      </c>
      <c r="I170" s="193">
        <v>45731</v>
      </c>
      <c r="J170" s="285"/>
      <c r="K170" s="262"/>
      <c r="L170" s="682"/>
      <c r="M170" s="616"/>
      <c r="O170" s="192" t="s">
        <v>16</v>
      </c>
      <c r="P170" s="193">
        <v>45731</v>
      </c>
      <c r="Q170" s="285"/>
      <c r="R170" s="262"/>
      <c r="S170" s="682"/>
      <c r="T170" s="616"/>
    </row>
    <row r="171" spans="1:20" ht="14.5" x14ac:dyDescent="0.35">
      <c r="A171" s="192" t="s">
        <v>18</v>
      </c>
      <c r="B171" s="193">
        <v>45732</v>
      </c>
      <c r="C171" s="285"/>
      <c r="D171" s="286"/>
      <c r="E171" s="681"/>
      <c r="F171" s="713"/>
      <c r="G171" s="262"/>
      <c r="H171" s="192" t="s">
        <v>18</v>
      </c>
      <c r="I171" s="193">
        <v>45732</v>
      </c>
      <c r="J171" s="285"/>
      <c r="K171" s="286"/>
      <c r="L171" s="681"/>
      <c r="M171" s="713"/>
      <c r="O171" s="192" t="s">
        <v>18</v>
      </c>
      <c r="P171" s="193">
        <v>45732</v>
      </c>
      <c r="Q171" s="285"/>
      <c r="R171" s="286"/>
      <c r="S171" s="681"/>
      <c r="T171" s="713"/>
    </row>
    <row r="172" spans="1:20" ht="14.5" x14ac:dyDescent="0.35">
      <c r="A172" s="192" t="s">
        <v>20</v>
      </c>
      <c r="B172" s="193">
        <v>45733</v>
      </c>
      <c r="C172" s="285">
        <v>571</v>
      </c>
      <c r="D172" s="481">
        <v>9</v>
      </c>
      <c r="E172" s="675">
        <v>1</v>
      </c>
      <c r="F172" s="613">
        <v>0</v>
      </c>
      <c r="G172" s="262"/>
      <c r="H172" s="192" t="s">
        <v>20</v>
      </c>
      <c r="I172" s="193">
        <v>45733</v>
      </c>
      <c r="J172" s="285"/>
      <c r="K172" s="481"/>
      <c r="L172" s="675"/>
      <c r="M172" s="613"/>
      <c r="O172" s="192" t="s">
        <v>20</v>
      </c>
      <c r="P172" s="193">
        <v>45733</v>
      </c>
      <c r="Q172" s="285"/>
      <c r="R172" s="481"/>
      <c r="S172" s="675"/>
      <c r="T172" s="613"/>
    </row>
    <row r="173" spans="1:20" ht="14.5" x14ac:dyDescent="0.35">
      <c r="A173" s="192" t="s">
        <v>22</v>
      </c>
      <c r="B173" s="193">
        <v>45734</v>
      </c>
      <c r="C173" s="285">
        <v>2705</v>
      </c>
      <c r="D173" s="288">
        <v>11</v>
      </c>
      <c r="E173" s="682">
        <v>0</v>
      </c>
      <c r="F173" s="616">
        <v>0</v>
      </c>
      <c r="G173" s="262"/>
      <c r="H173" s="192" t="s">
        <v>22</v>
      </c>
      <c r="I173" s="193">
        <v>45734</v>
      </c>
      <c r="J173" s="285"/>
      <c r="K173" s="288"/>
      <c r="L173" s="682"/>
      <c r="M173" s="616"/>
      <c r="O173" s="192" t="s">
        <v>22</v>
      </c>
      <c r="P173" s="193">
        <v>45734</v>
      </c>
      <c r="Q173" s="285"/>
      <c r="R173" s="288"/>
      <c r="S173" s="682"/>
      <c r="T173" s="616"/>
    </row>
    <row r="174" spans="1:20" ht="15.65" customHeight="1" x14ac:dyDescent="0.35">
      <c r="A174" s="192" t="s">
        <v>24</v>
      </c>
      <c r="B174" s="193">
        <v>45735</v>
      </c>
      <c r="C174" s="285">
        <v>844</v>
      </c>
      <c r="D174" s="481">
        <v>9</v>
      </c>
      <c r="E174" s="675">
        <v>0</v>
      </c>
      <c r="F174" s="613">
        <v>0</v>
      </c>
      <c r="G174" s="262"/>
      <c r="H174" s="192" t="s">
        <v>24</v>
      </c>
      <c r="I174" s="193">
        <v>45735</v>
      </c>
      <c r="J174" s="285"/>
      <c r="K174" s="481"/>
      <c r="L174" s="675"/>
      <c r="M174" s="613"/>
      <c r="O174" s="192" t="s">
        <v>24</v>
      </c>
      <c r="P174" s="193">
        <v>45735</v>
      </c>
      <c r="Q174" s="285"/>
      <c r="R174" s="481"/>
      <c r="S174" s="675"/>
      <c r="T174" s="613"/>
    </row>
    <row r="175" spans="1:20" ht="14.5" x14ac:dyDescent="0.35">
      <c r="A175" s="192" t="s">
        <v>10</v>
      </c>
      <c r="B175" s="193">
        <v>45736</v>
      </c>
      <c r="C175" s="285">
        <v>496</v>
      </c>
      <c r="D175" s="286">
        <v>8</v>
      </c>
      <c r="E175" s="675">
        <v>0</v>
      </c>
      <c r="F175" s="613">
        <v>0</v>
      </c>
      <c r="G175" s="262"/>
      <c r="H175" s="192" t="s">
        <v>10</v>
      </c>
      <c r="I175" s="193">
        <v>45736</v>
      </c>
      <c r="J175" s="285"/>
      <c r="K175" s="286"/>
      <c r="L175" s="675"/>
      <c r="M175" s="613"/>
      <c r="O175" s="192" t="s">
        <v>10</v>
      </c>
      <c r="P175" s="193">
        <v>45736</v>
      </c>
      <c r="Q175" s="285"/>
      <c r="R175" s="286"/>
      <c r="S175" s="675"/>
      <c r="T175" s="613"/>
    </row>
    <row r="176" spans="1:20" ht="14.5" x14ac:dyDescent="0.35">
      <c r="A176" s="192" t="s">
        <v>13</v>
      </c>
      <c r="B176" s="193">
        <v>45737</v>
      </c>
      <c r="C176" s="285">
        <v>2729</v>
      </c>
      <c r="D176" s="481">
        <v>11</v>
      </c>
      <c r="E176" s="681">
        <v>0</v>
      </c>
      <c r="F176" s="713">
        <v>1</v>
      </c>
      <c r="G176" s="262"/>
      <c r="H176" s="192" t="s">
        <v>13</v>
      </c>
      <c r="I176" s="193">
        <v>45737</v>
      </c>
      <c r="J176" s="285"/>
      <c r="K176" s="481"/>
      <c r="L176" s="681"/>
      <c r="M176" s="713"/>
      <c r="O176" s="192" t="s">
        <v>13</v>
      </c>
      <c r="P176" s="193">
        <v>45737</v>
      </c>
      <c r="Q176" s="285"/>
      <c r="R176" s="481"/>
      <c r="S176" s="681"/>
      <c r="T176" s="713"/>
    </row>
    <row r="177" spans="1:20" ht="14.5" x14ac:dyDescent="0.35">
      <c r="A177" s="192" t="s">
        <v>16</v>
      </c>
      <c r="B177" s="193">
        <v>45738</v>
      </c>
      <c r="C177" s="285">
        <v>233</v>
      </c>
      <c r="D177" s="286">
        <v>8</v>
      </c>
      <c r="E177" s="681">
        <v>0</v>
      </c>
      <c r="F177" s="713">
        <v>0</v>
      </c>
      <c r="G177" s="262"/>
      <c r="H177" s="192" t="s">
        <v>16</v>
      </c>
      <c r="I177" s="193">
        <v>45738</v>
      </c>
      <c r="J177" s="285"/>
      <c r="K177" s="286"/>
      <c r="L177" s="681"/>
      <c r="M177" s="713"/>
      <c r="O177" s="192" t="s">
        <v>16</v>
      </c>
      <c r="P177" s="193">
        <v>45738</v>
      </c>
      <c r="Q177" s="285"/>
      <c r="R177" s="286"/>
      <c r="S177" s="681"/>
      <c r="T177" s="713"/>
    </row>
    <row r="178" spans="1:20" ht="14.5" x14ac:dyDescent="0.35">
      <c r="A178" s="192" t="s">
        <v>18</v>
      </c>
      <c r="B178" s="193">
        <v>45739</v>
      </c>
      <c r="C178" s="285"/>
      <c r="D178" s="481"/>
      <c r="E178" s="675"/>
      <c r="F178" s="613"/>
      <c r="G178" s="262"/>
      <c r="H178" s="192" t="s">
        <v>18</v>
      </c>
      <c r="I178" s="193">
        <v>45739</v>
      </c>
      <c r="J178" s="285"/>
      <c r="K178" s="481"/>
      <c r="L178" s="675"/>
      <c r="M178" s="613"/>
      <c r="O178" s="192" t="s">
        <v>18</v>
      </c>
      <c r="P178" s="193">
        <v>45739</v>
      </c>
      <c r="Q178" s="285"/>
      <c r="R178" s="481"/>
      <c r="S178" s="675"/>
      <c r="T178" s="613"/>
    </row>
    <row r="179" spans="1:20" ht="14.5" x14ac:dyDescent="0.35">
      <c r="A179" s="192" t="s">
        <v>20</v>
      </c>
      <c r="B179" s="193">
        <v>45740</v>
      </c>
      <c r="C179" s="285">
        <v>544</v>
      </c>
      <c r="D179" s="286">
        <v>11</v>
      </c>
      <c r="E179" s="681">
        <v>1</v>
      </c>
      <c r="F179" s="713">
        <v>0</v>
      </c>
      <c r="G179" s="262"/>
      <c r="H179" s="192" t="s">
        <v>20</v>
      </c>
      <c r="I179" s="193">
        <v>45740</v>
      </c>
      <c r="J179" s="285"/>
      <c r="K179" s="286"/>
      <c r="L179" s="681"/>
      <c r="M179" s="713"/>
      <c r="O179" s="192" t="s">
        <v>20</v>
      </c>
      <c r="P179" s="193">
        <v>45740</v>
      </c>
      <c r="Q179" s="285"/>
      <c r="R179" s="286"/>
      <c r="S179" s="681"/>
      <c r="T179" s="713"/>
    </row>
    <row r="180" spans="1:20" ht="14.5" x14ac:dyDescent="0.35">
      <c r="A180" s="192" t="s">
        <v>22</v>
      </c>
      <c r="B180" s="193">
        <v>45741</v>
      </c>
      <c r="C180" s="482">
        <v>559</v>
      </c>
      <c r="D180" s="481">
        <v>19</v>
      </c>
      <c r="E180" s="681">
        <v>2</v>
      </c>
      <c r="F180" s="713">
        <v>3</v>
      </c>
      <c r="G180" s="262"/>
      <c r="H180" s="192" t="s">
        <v>22</v>
      </c>
      <c r="I180" s="193">
        <v>45741</v>
      </c>
      <c r="J180" s="482">
        <v>420</v>
      </c>
      <c r="K180" s="481">
        <v>2</v>
      </c>
      <c r="L180" s="681">
        <v>0</v>
      </c>
      <c r="M180" s="713">
        <v>0</v>
      </c>
      <c r="O180" s="192" t="s">
        <v>22</v>
      </c>
      <c r="P180" s="193">
        <v>45741</v>
      </c>
      <c r="Q180" s="482">
        <v>612</v>
      </c>
      <c r="R180" s="481">
        <v>7</v>
      </c>
      <c r="S180" s="681">
        <v>0</v>
      </c>
      <c r="T180" s="713">
        <v>1</v>
      </c>
    </row>
    <row r="181" spans="1:20" ht="14.5" x14ac:dyDescent="0.35">
      <c r="A181" s="192" t="s">
        <v>24</v>
      </c>
      <c r="B181" s="193">
        <v>45742</v>
      </c>
      <c r="C181" s="290">
        <v>701</v>
      </c>
      <c r="D181" s="286">
        <v>14</v>
      </c>
      <c r="E181" s="682">
        <v>0</v>
      </c>
      <c r="F181" s="616">
        <v>0</v>
      </c>
      <c r="G181" s="262"/>
      <c r="H181" s="192" t="s">
        <v>24</v>
      </c>
      <c r="I181" s="193">
        <v>45742</v>
      </c>
      <c r="J181" s="290">
        <v>420</v>
      </c>
      <c r="K181" s="286">
        <v>2</v>
      </c>
      <c r="L181" s="682">
        <v>1</v>
      </c>
      <c r="M181" s="616"/>
      <c r="O181" s="192" t="s">
        <v>24</v>
      </c>
      <c r="P181" s="193">
        <v>45742</v>
      </c>
      <c r="Q181" s="290">
        <v>612</v>
      </c>
      <c r="R181" s="286">
        <v>5</v>
      </c>
      <c r="S181" s="682">
        <v>0</v>
      </c>
      <c r="T181" s="616">
        <v>0</v>
      </c>
    </row>
    <row r="182" spans="1:20" ht="14.5" x14ac:dyDescent="0.35">
      <c r="A182" s="192" t="s">
        <v>10</v>
      </c>
      <c r="B182" s="193">
        <v>45743</v>
      </c>
      <c r="C182" s="290">
        <v>1620</v>
      </c>
      <c r="D182" s="481">
        <v>14</v>
      </c>
      <c r="E182" s="682">
        <v>0</v>
      </c>
      <c r="F182" s="616">
        <v>0</v>
      </c>
      <c r="G182" s="262"/>
      <c r="H182" s="192" t="s">
        <v>10</v>
      </c>
      <c r="I182" s="193">
        <v>45743</v>
      </c>
      <c r="J182" s="290">
        <v>502</v>
      </c>
      <c r="K182" s="481">
        <v>5</v>
      </c>
      <c r="L182" s="682">
        <v>0</v>
      </c>
      <c r="M182" s="616">
        <v>0</v>
      </c>
      <c r="O182" s="192" t="s">
        <v>10</v>
      </c>
      <c r="P182" s="193">
        <v>45743</v>
      </c>
      <c r="Q182" s="290">
        <v>0</v>
      </c>
      <c r="R182" s="481">
        <v>5</v>
      </c>
      <c r="S182" s="682">
        <v>0</v>
      </c>
      <c r="T182" s="616">
        <v>0</v>
      </c>
    </row>
    <row r="183" spans="1:20" ht="14.5" x14ac:dyDescent="0.35">
      <c r="A183" s="192" t="s">
        <v>13</v>
      </c>
      <c r="B183" s="193">
        <v>45744</v>
      </c>
      <c r="C183" s="290">
        <v>3984</v>
      </c>
      <c r="D183" s="286">
        <v>17</v>
      </c>
      <c r="E183" s="682">
        <v>3</v>
      </c>
      <c r="F183" s="616">
        <v>0</v>
      </c>
      <c r="G183" s="262"/>
      <c r="H183" s="192" t="s">
        <v>13</v>
      </c>
      <c r="I183" s="193">
        <v>45744</v>
      </c>
      <c r="J183" s="290">
        <v>660</v>
      </c>
      <c r="K183" s="286">
        <v>4</v>
      </c>
      <c r="L183" s="682">
        <v>0</v>
      </c>
      <c r="M183" s="616">
        <v>0</v>
      </c>
      <c r="O183" s="192" t="s">
        <v>13</v>
      </c>
      <c r="P183" s="193">
        <v>45744</v>
      </c>
      <c r="Q183" s="290">
        <v>494</v>
      </c>
      <c r="R183" s="286">
        <v>4</v>
      </c>
      <c r="S183" s="682">
        <v>0</v>
      </c>
      <c r="T183" s="616">
        <v>0</v>
      </c>
    </row>
    <row r="184" spans="1:20" ht="14.5" x14ac:dyDescent="0.35">
      <c r="A184" s="192" t="s">
        <v>16</v>
      </c>
      <c r="B184" s="193">
        <v>45745</v>
      </c>
      <c r="C184" s="290">
        <v>349</v>
      </c>
      <c r="D184" s="481">
        <v>13</v>
      </c>
      <c r="E184" s="682">
        <v>1</v>
      </c>
      <c r="F184" s="616">
        <v>1</v>
      </c>
      <c r="G184" s="262"/>
      <c r="H184" s="192" t="s">
        <v>16</v>
      </c>
      <c r="I184" s="193">
        <v>45745</v>
      </c>
      <c r="J184" s="290">
        <v>548</v>
      </c>
      <c r="K184" s="481">
        <v>5</v>
      </c>
      <c r="L184" s="682">
        <v>0</v>
      </c>
      <c r="M184" s="616">
        <v>0</v>
      </c>
      <c r="O184" s="192" t="s">
        <v>16</v>
      </c>
      <c r="P184" s="193">
        <v>45745</v>
      </c>
      <c r="Q184" s="290">
        <v>672</v>
      </c>
      <c r="R184" s="481">
        <v>4</v>
      </c>
      <c r="S184" s="682">
        <v>0</v>
      </c>
      <c r="T184" s="616">
        <v>0</v>
      </c>
    </row>
    <row r="185" spans="1:20" ht="14.5" x14ac:dyDescent="0.35">
      <c r="A185" s="192" t="s">
        <v>18</v>
      </c>
      <c r="B185" s="193">
        <v>45746</v>
      </c>
      <c r="C185" s="290"/>
      <c r="D185" s="262"/>
      <c r="E185" s="682"/>
      <c r="F185" s="616"/>
      <c r="G185" s="262"/>
      <c r="H185" s="192" t="s">
        <v>18</v>
      </c>
      <c r="I185" s="193">
        <v>45746</v>
      </c>
      <c r="J185" s="290"/>
      <c r="K185" s="262"/>
      <c r="L185" s="682"/>
      <c r="M185" s="616"/>
      <c r="O185" s="192" t="s">
        <v>18</v>
      </c>
      <c r="P185" s="193">
        <v>45746</v>
      </c>
      <c r="Q185" s="290"/>
      <c r="R185" s="262"/>
      <c r="S185" s="682"/>
      <c r="T185" s="616"/>
    </row>
    <row r="186" spans="1:20" thickBot="1" x14ac:dyDescent="0.4">
      <c r="A186" s="192" t="s">
        <v>20</v>
      </c>
      <c r="B186" s="193">
        <v>45747</v>
      </c>
      <c r="C186" s="718">
        <v>5969</v>
      </c>
      <c r="D186" s="719">
        <v>8</v>
      </c>
      <c r="E186" s="720">
        <v>0</v>
      </c>
      <c r="F186" s="721">
        <v>3</v>
      </c>
      <c r="G186" s="262"/>
      <c r="H186" s="192" t="s">
        <v>20</v>
      </c>
      <c r="I186" s="193">
        <v>45747</v>
      </c>
      <c r="J186" s="718"/>
      <c r="K186" s="719">
        <v>0</v>
      </c>
      <c r="L186" s="720"/>
      <c r="M186" s="721"/>
      <c r="O186" s="192" t="s">
        <v>20</v>
      </c>
      <c r="P186" s="193">
        <v>45747</v>
      </c>
      <c r="Q186" s="718"/>
      <c r="R186" s="719">
        <v>0</v>
      </c>
      <c r="S186" s="720"/>
      <c r="T186" s="721"/>
    </row>
    <row r="187" spans="1:20" ht="14.5" x14ac:dyDescent="0.35">
      <c r="A187" s="257"/>
      <c r="B187" s="483"/>
      <c r="C187" s="484">
        <f>SUM(C155:C186)</f>
        <v>44604</v>
      </c>
      <c r="D187" s="485">
        <f>SUM(D155:D186)</f>
        <v>314</v>
      </c>
      <c r="E187" s="486">
        <f>SUM(E155:E186)</f>
        <v>12</v>
      </c>
      <c r="F187" s="487">
        <f>SUM(F155:F186)</f>
        <v>12</v>
      </c>
      <c r="H187" s="257"/>
      <c r="I187" s="483"/>
      <c r="J187" s="484">
        <f>SUM(J155:J186)</f>
        <v>2550</v>
      </c>
      <c r="K187" s="485">
        <f>SUM(K155:K186)</f>
        <v>18</v>
      </c>
      <c r="L187" s="486">
        <f>SUM(L155:L186)</f>
        <v>1</v>
      </c>
      <c r="M187" s="487">
        <f>SUM(M155:M186)</f>
        <v>0</v>
      </c>
      <c r="O187" s="257"/>
      <c r="P187" s="483"/>
      <c r="Q187" s="484">
        <f>SUM(Q155:Q186)</f>
        <v>2390</v>
      </c>
      <c r="R187" s="485">
        <f>SUM(R155:R186)</f>
        <v>25</v>
      </c>
      <c r="S187" s="486">
        <f>SUM(S155:S186)</f>
        <v>0</v>
      </c>
      <c r="T187" s="487">
        <f>SUM(T155:T186)</f>
        <v>1</v>
      </c>
    </row>
    <row r="188" spans="1:20" ht="14.5" x14ac:dyDescent="0.35">
      <c r="A188" s="262"/>
      <c r="B188" s="433"/>
      <c r="C188" s="508"/>
      <c r="D188" s="262"/>
      <c r="E188" s="508"/>
      <c r="F188" s="262"/>
      <c r="H188" s="262"/>
      <c r="I188" s="262"/>
      <c r="J188" s="262"/>
    </row>
    <row r="189" spans="1:20" ht="14.5" x14ac:dyDescent="0.35">
      <c r="A189" s="262"/>
      <c r="B189" s="262"/>
      <c r="C189" s="511"/>
      <c r="D189" s="511"/>
      <c r="E189" s="475"/>
      <c r="F189" s="511"/>
      <c r="H189" s="511"/>
      <c r="I189" s="262"/>
      <c r="J189" s="262"/>
      <c r="M189" s="262"/>
    </row>
    <row r="190" spans="1:20" thickBot="1" x14ac:dyDescent="0.4">
      <c r="A190" s="262"/>
      <c r="D190" s="511"/>
    </row>
    <row r="191" spans="1:20" ht="14.5" x14ac:dyDescent="0.35">
      <c r="A191" s="777"/>
      <c r="B191" s="778" t="s">
        <v>335</v>
      </c>
      <c r="C191" s="779" t="s">
        <v>93</v>
      </c>
      <c r="L191" s="896" t="s">
        <v>94</v>
      </c>
      <c r="M191" s="780" t="s">
        <v>95</v>
      </c>
      <c r="N191" s="899" t="s">
        <v>98</v>
      </c>
    </row>
    <row r="192" spans="1:20" ht="14.5" x14ac:dyDescent="0.35">
      <c r="A192" s="781" t="s">
        <v>99</v>
      </c>
      <c r="B192" s="782">
        <f>C35/26*26</f>
        <v>68360</v>
      </c>
      <c r="C192" s="842">
        <f>B192-65000</f>
        <v>3360</v>
      </c>
      <c r="L192" s="897">
        <v>62209</v>
      </c>
      <c r="M192" s="889">
        <v>57833</v>
      </c>
      <c r="N192" s="789">
        <f t="shared" ref="N192:N197" si="4">AVERAGE(L192:M192)</f>
        <v>60021</v>
      </c>
    </row>
    <row r="193" spans="1:14" ht="14.5" x14ac:dyDescent="0.35">
      <c r="A193" s="790" t="s">
        <v>37</v>
      </c>
      <c r="B193" s="782">
        <f>C74/26*26</f>
        <v>57621</v>
      </c>
      <c r="C193" s="842">
        <f>B193-45000</f>
        <v>12621</v>
      </c>
      <c r="L193" s="897">
        <v>55755</v>
      </c>
      <c r="M193" s="889">
        <v>44025</v>
      </c>
      <c r="N193" s="789">
        <f t="shared" si="4"/>
        <v>49890</v>
      </c>
    </row>
    <row r="194" spans="1:14" ht="14.5" x14ac:dyDescent="0.35">
      <c r="A194" s="790" t="s">
        <v>100</v>
      </c>
      <c r="B194" s="782">
        <f>C110/26*26</f>
        <v>42919</v>
      </c>
      <c r="C194" s="852">
        <f>B194-55000</f>
        <v>-12081</v>
      </c>
      <c r="L194" s="897">
        <v>51074</v>
      </c>
      <c r="M194" s="889">
        <v>39270</v>
      </c>
      <c r="N194" s="789">
        <f t="shared" si="4"/>
        <v>45172</v>
      </c>
    </row>
    <row r="195" spans="1:14" ht="14.5" x14ac:dyDescent="0.35">
      <c r="A195" s="791" t="s">
        <v>70</v>
      </c>
      <c r="B195" s="782">
        <f>C148/26*26</f>
        <v>31999</v>
      </c>
      <c r="C195" s="852">
        <f>B195-35000</f>
        <v>-3001</v>
      </c>
      <c r="L195" s="897">
        <v>36729</v>
      </c>
      <c r="M195" s="889">
        <v>27225</v>
      </c>
      <c r="N195" s="789">
        <f t="shared" si="4"/>
        <v>31977</v>
      </c>
    </row>
    <row r="196" spans="1:14" thickBot="1" x14ac:dyDescent="0.4">
      <c r="A196" s="797" t="s">
        <v>88</v>
      </c>
      <c r="B196" s="798">
        <f>C187/26*26</f>
        <v>44604</v>
      </c>
      <c r="C196" s="868"/>
      <c r="L196" s="897">
        <v>38776</v>
      </c>
      <c r="M196" s="889">
        <v>45274</v>
      </c>
      <c r="N196" s="789">
        <f t="shared" si="4"/>
        <v>42025</v>
      </c>
    </row>
    <row r="197" spans="1:14" ht="14.5" x14ac:dyDescent="0.35">
      <c r="A197" s="801" t="s">
        <v>101</v>
      </c>
      <c r="B197" s="802">
        <f>SUM(B192:B196)</f>
        <v>245503</v>
      </c>
      <c r="C197" s="853">
        <f>SUM(C192:C196)</f>
        <v>899</v>
      </c>
      <c r="L197" s="898">
        <v>244543</v>
      </c>
      <c r="M197" s="895">
        <f>SUM(M192:M196)</f>
        <v>213627</v>
      </c>
      <c r="N197" s="900">
        <f t="shared" si="4"/>
        <v>229085</v>
      </c>
    </row>
    <row r="198" spans="1:14" ht="14.5" x14ac:dyDescent="0.35">
      <c r="A198" s="810"/>
      <c r="B198" s="811">
        <f>B197/26</f>
        <v>9442.4230769230762</v>
      </c>
      <c r="C198" s="810"/>
    </row>
    <row r="199" spans="1:14" ht="14.5" x14ac:dyDescent="0.35">
      <c r="A199" s="810"/>
      <c r="B199" s="813"/>
      <c r="C199" s="814"/>
    </row>
    <row r="200" spans="1:14" ht="14.5" x14ac:dyDescent="0.35">
      <c r="A200" s="816" t="s">
        <v>102</v>
      </c>
      <c r="B200" s="780" t="s">
        <v>113</v>
      </c>
      <c r="C200" s="780" t="s">
        <v>114</v>
      </c>
      <c r="D200" s="780" t="s">
        <v>103</v>
      </c>
      <c r="E200" s="780" t="s">
        <v>104</v>
      </c>
      <c r="F200" s="780" t="s">
        <v>105</v>
      </c>
      <c r="G200" s="780" t="s">
        <v>106</v>
      </c>
      <c r="H200" s="780" t="s">
        <v>107</v>
      </c>
      <c r="I200" s="780" t="s">
        <v>108</v>
      </c>
      <c r="J200" s="835" t="s">
        <v>109</v>
      </c>
      <c r="K200" s="894" t="s">
        <v>110</v>
      </c>
      <c r="L200" s="780" t="s">
        <v>111</v>
      </c>
      <c r="M200" s="780" t="s">
        <v>112</v>
      </c>
      <c r="N200" s="818" t="s">
        <v>98</v>
      </c>
    </row>
    <row r="201" spans="1:14" ht="14.5" x14ac:dyDescent="0.35">
      <c r="A201" s="819" t="s">
        <v>99</v>
      </c>
      <c r="B201" s="785">
        <v>71363</v>
      </c>
      <c r="C201" s="785">
        <v>75374</v>
      </c>
      <c r="D201" s="786">
        <v>72600</v>
      </c>
      <c r="E201" s="787">
        <v>72030</v>
      </c>
      <c r="F201" s="787">
        <v>72545</v>
      </c>
      <c r="G201" s="786">
        <v>75155</v>
      </c>
      <c r="H201" s="784">
        <v>62987</v>
      </c>
      <c r="I201" s="784">
        <v>64844</v>
      </c>
      <c r="J201" s="863">
        <v>53912</v>
      </c>
      <c r="K201" s="888">
        <v>70795</v>
      </c>
      <c r="L201" s="783">
        <v>59678</v>
      </c>
      <c r="M201" s="784">
        <v>65325</v>
      </c>
      <c r="N201" s="789">
        <f>AVERAGE(B201:K201)</f>
        <v>69160.5</v>
      </c>
    </row>
    <row r="202" spans="1:14" ht="14.5" x14ac:dyDescent="0.35">
      <c r="A202" s="819" t="s">
        <v>37</v>
      </c>
      <c r="B202" s="785">
        <v>45858</v>
      </c>
      <c r="C202" s="785">
        <v>55612</v>
      </c>
      <c r="D202" s="786">
        <v>53980</v>
      </c>
      <c r="E202" s="787">
        <v>49420</v>
      </c>
      <c r="F202" s="787">
        <v>54821</v>
      </c>
      <c r="G202" s="786">
        <v>56018</v>
      </c>
      <c r="H202" s="784">
        <v>60228</v>
      </c>
      <c r="I202" s="784">
        <v>54103</v>
      </c>
      <c r="J202" s="863">
        <v>41310</v>
      </c>
      <c r="K202" s="888">
        <v>46158</v>
      </c>
      <c r="L202" s="783">
        <v>43365</v>
      </c>
      <c r="M202" s="784">
        <v>38287</v>
      </c>
      <c r="N202" s="789">
        <f>AVERAGE(B202:K202)</f>
        <v>51750.8</v>
      </c>
    </row>
    <row r="203" spans="1:14" ht="14.5" x14ac:dyDescent="0.35">
      <c r="A203" s="819" t="s">
        <v>100</v>
      </c>
      <c r="B203" s="785">
        <v>56961</v>
      </c>
      <c r="C203" s="785">
        <v>56144</v>
      </c>
      <c r="D203" s="786">
        <v>54118</v>
      </c>
      <c r="E203" s="787">
        <v>58320</v>
      </c>
      <c r="F203" s="787">
        <v>51390</v>
      </c>
      <c r="G203" s="786">
        <v>60136.999999999993</v>
      </c>
      <c r="H203" s="784">
        <v>56294</v>
      </c>
      <c r="I203" s="784">
        <v>71263</v>
      </c>
      <c r="J203" s="863">
        <v>57204</v>
      </c>
      <c r="K203" s="888">
        <v>56105</v>
      </c>
      <c r="L203" s="783">
        <v>43344</v>
      </c>
      <c r="M203" s="784">
        <v>54088</v>
      </c>
      <c r="N203" s="789">
        <f>AVERAGE(B203:K203)</f>
        <v>57793.599999999999</v>
      </c>
    </row>
    <row r="204" spans="1:14" ht="14.5" x14ac:dyDescent="0.35">
      <c r="A204" s="865" t="s">
        <v>115</v>
      </c>
      <c r="B204" s="794"/>
      <c r="C204" s="794"/>
      <c r="D204" s="795"/>
      <c r="E204" s="796"/>
      <c r="F204" s="796">
        <v>15641</v>
      </c>
      <c r="G204" s="786">
        <v>49296</v>
      </c>
      <c r="H204" s="784">
        <v>46460</v>
      </c>
      <c r="I204" s="784">
        <v>38381</v>
      </c>
      <c r="J204" s="863">
        <v>34911</v>
      </c>
      <c r="K204" s="888">
        <v>34895</v>
      </c>
      <c r="L204" s="795"/>
      <c r="M204" s="793"/>
      <c r="N204" s="789">
        <f>AVERAGE(G204:K204)</f>
        <v>40788.6</v>
      </c>
    </row>
    <row r="205" spans="1:14" ht="14.5" x14ac:dyDescent="0.35">
      <c r="A205" s="819" t="s">
        <v>88</v>
      </c>
      <c r="B205" s="785">
        <v>32129</v>
      </c>
      <c r="C205" s="785">
        <v>67460</v>
      </c>
      <c r="D205" s="786">
        <v>57984</v>
      </c>
      <c r="E205" s="787">
        <v>47444</v>
      </c>
      <c r="F205" s="787">
        <v>56888</v>
      </c>
      <c r="G205" s="800">
        <v>64418</v>
      </c>
      <c r="H205" s="784">
        <v>47105</v>
      </c>
      <c r="I205" s="784">
        <v>51582</v>
      </c>
      <c r="J205" s="863">
        <v>45924</v>
      </c>
      <c r="K205" s="888">
        <v>44591</v>
      </c>
      <c r="L205" s="783">
        <v>34063</v>
      </c>
      <c r="M205" s="784">
        <v>44190</v>
      </c>
      <c r="N205" s="789">
        <f>AVERAGE(B205:K205)</f>
        <v>51552.5</v>
      </c>
    </row>
    <row r="206" spans="1:14" ht="14.5" x14ac:dyDescent="0.35">
      <c r="A206" s="822" t="s">
        <v>101</v>
      </c>
      <c r="B206" s="804">
        <f>SUM(B201:B205)</f>
        <v>206311</v>
      </c>
      <c r="C206" s="804">
        <f>SUM(C201:C205)</f>
        <v>254590</v>
      </c>
      <c r="D206" s="804">
        <f>SUM(D201:D205)</f>
        <v>238682</v>
      </c>
      <c r="E206" s="804">
        <f>SUM(E201:E205)</f>
        <v>227214</v>
      </c>
      <c r="F206" s="804">
        <v>251285</v>
      </c>
      <c r="G206" s="805">
        <v>305024</v>
      </c>
      <c r="H206" s="806">
        <f>SUM(H201:H205)</f>
        <v>273074</v>
      </c>
      <c r="I206" s="807">
        <v>280173</v>
      </c>
      <c r="J206" s="808">
        <v>233261</v>
      </c>
      <c r="K206" s="883">
        <f>SUM(K201:K205)</f>
        <v>252544</v>
      </c>
      <c r="L206" s="803">
        <v>180450</v>
      </c>
      <c r="M206" s="804">
        <f>SUM(M201:M205)</f>
        <v>201890</v>
      </c>
      <c r="N206" s="809">
        <f>SUM(N201:N205)</f>
        <v>271046</v>
      </c>
    </row>
    <row r="207" spans="1:14" ht="14.5" x14ac:dyDescent="0.35">
      <c r="A207" s="810"/>
      <c r="B207" s="815"/>
      <c r="C207" s="815"/>
      <c r="D207" s="815"/>
      <c r="E207" s="815"/>
      <c r="F207" s="815"/>
      <c r="G207" s="815"/>
      <c r="H207" s="815"/>
      <c r="I207" s="810"/>
      <c r="J207" s="810"/>
      <c r="L207" s="815"/>
      <c r="M207" s="815"/>
      <c r="N207" s="810"/>
    </row>
    <row r="208" spans="1:14" ht="14.5" x14ac:dyDescent="0.35">
      <c r="A208" s="817" t="s">
        <v>102</v>
      </c>
      <c r="B208" s="816" t="s">
        <v>126</v>
      </c>
      <c r="C208" s="816" t="s">
        <v>127</v>
      </c>
      <c r="D208" s="816" t="s">
        <v>116</v>
      </c>
      <c r="E208" s="817" t="s">
        <v>117</v>
      </c>
      <c r="F208" s="816" t="s">
        <v>118</v>
      </c>
      <c r="G208" s="816" t="s">
        <v>119</v>
      </c>
      <c r="H208" s="816" t="s">
        <v>120</v>
      </c>
      <c r="I208" s="816" t="s">
        <v>121</v>
      </c>
      <c r="J208" s="816" t="s">
        <v>122</v>
      </c>
      <c r="K208" s="816" t="s">
        <v>123</v>
      </c>
      <c r="L208" s="816" t="s">
        <v>124</v>
      </c>
      <c r="M208" s="816" t="s">
        <v>125</v>
      </c>
      <c r="N208" s="818" t="s">
        <v>98</v>
      </c>
    </row>
    <row r="209" spans="1:14" ht="14.5" x14ac:dyDescent="0.35">
      <c r="A209" s="833" t="s">
        <v>99</v>
      </c>
      <c r="B209" s="819">
        <v>66142</v>
      </c>
      <c r="C209" s="819">
        <v>58127</v>
      </c>
      <c r="D209" s="819">
        <v>74979</v>
      </c>
      <c r="E209" s="820">
        <v>63950</v>
      </c>
      <c r="F209" s="819">
        <v>73973</v>
      </c>
      <c r="G209" s="819">
        <v>63776</v>
      </c>
      <c r="H209" s="819">
        <v>62209</v>
      </c>
      <c r="I209" s="819">
        <v>61961</v>
      </c>
      <c r="J209" s="819">
        <v>62927</v>
      </c>
      <c r="K209" s="819">
        <v>50792</v>
      </c>
      <c r="L209" s="819">
        <v>55786</v>
      </c>
      <c r="M209" s="819">
        <v>48081</v>
      </c>
      <c r="N209" s="821">
        <f>AVERAGE(B209:E209)</f>
        <v>65799.5</v>
      </c>
    </row>
    <row r="210" spans="1:14" ht="14.5" x14ac:dyDescent="0.35">
      <c r="A210" s="833" t="s">
        <v>37</v>
      </c>
      <c r="B210" s="819">
        <v>38086</v>
      </c>
      <c r="C210" s="819">
        <v>42706</v>
      </c>
      <c r="D210" s="819">
        <v>48870</v>
      </c>
      <c r="E210" s="820">
        <v>44783</v>
      </c>
      <c r="F210" s="819">
        <v>58612</v>
      </c>
      <c r="G210" s="819">
        <v>59247</v>
      </c>
      <c r="H210" s="819">
        <v>49882</v>
      </c>
      <c r="I210" s="819">
        <v>42564</v>
      </c>
      <c r="J210" s="819">
        <v>44217</v>
      </c>
      <c r="K210" s="819">
        <v>42911</v>
      </c>
      <c r="L210" s="819">
        <v>40388</v>
      </c>
      <c r="M210" s="819">
        <v>32034</v>
      </c>
      <c r="N210" s="821">
        <f>AVERAGE(B210:E210)</f>
        <v>43611.25</v>
      </c>
    </row>
    <row r="211" spans="1:14" ht="14.5" x14ac:dyDescent="0.35">
      <c r="A211" s="833" t="s">
        <v>100</v>
      </c>
      <c r="B211" s="819">
        <v>32384</v>
      </c>
      <c r="C211" s="819">
        <v>26635</v>
      </c>
      <c r="D211" s="819">
        <v>38487</v>
      </c>
      <c r="E211" s="820">
        <v>41827</v>
      </c>
      <c r="F211" s="819">
        <v>48432</v>
      </c>
      <c r="G211" s="819">
        <v>45807</v>
      </c>
      <c r="H211" s="819">
        <v>47219</v>
      </c>
      <c r="I211" s="819">
        <v>49140</v>
      </c>
      <c r="J211" s="819">
        <v>45889</v>
      </c>
      <c r="K211" s="819">
        <v>42002</v>
      </c>
      <c r="L211" s="819">
        <v>29164</v>
      </c>
      <c r="M211" s="819">
        <v>24425</v>
      </c>
      <c r="N211" s="821">
        <f>AVERAGE(B211:E211)</f>
        <v>34833.25</v>
      </c>
    </row>
    <row r="212" spans="1:14" ht="14.5" x14ac:dyDescent="0.35">
      <c r="A212" s="833" t="s">
        <v>88</v>
      </c>
      <c r="B212" s="819">
        <v>80881</v>
      </c>
      <c r="C212" s="819">
        <v>89693</v>
      </c>
      <c r="D212" s="819">
        <v>115741.16666666666</v>
      </c>
      <c r="E212" s="820">
        <v>92550</v>
      </c>
      <c r="F212" s="819">
        <v>102728</v>
      </c>
      <c r="G212" s="819">
        <v>102029</v>
      </c>
      <c r="H212" s="819">
        <v>73495</v>
      </c>
      <c r="I212" s="819">
        <v>77358</v>
      </c>
      <c r="J212" s="819">
        <v>75185</v>
      </c>
      <c r="K212" s="819">
        <v>62889</v>
      </c>
      <c r="L212" s="819">
        <v>78647</v>
      </c>
      <c r="M212" s="819">
        <v>71233</v>
      </c>
      <c r="N212" s="821">
        <f>AVERAGE(B212:E212)</f>
        <v>94716.291666666657</v>
      </c>
    </row>
    <row r="213" spans="1:14" ht="14.5" x14ac:dyDescent="0.35">
      <c r="A213" s="834" t="s">
        <v>101</v>
      </c>
      <c r="B213" s="823">
        <v>217493</v>
      </c>
      <c r="C213" s="823">
        <v>217161</v>
      </c>
      <c r="D213" s="823">
        <f>SUM(D209:D212)</f>
        <v>278077.16666666663</v>
      </c>
      <c r="E213" s="823">
        <f>SUM(E209:E212)</f>
        <v>243110</v>
      </c>
      <c r="F213" s="823">
        <v>283745</v>
      </c>
      <c r="G213" s="823">
        <v>270859</v>
      </c>
      <c r="H213" s="823">
        <v>232805</v>
      </c>
      <c r="I213" s="823">
        <v>231023</v>
      </c>
      <c r="J213" s="823">
        <v>228218</v>
      </c>
      <c r="K213" s="823">
        <v>198594</v>
      </c>
      <c r="L213" s="823">
        <v>203985</v>
      </c>
      <c r="M213" s="823">
        <v>175773</v>
      </c>
      <c r="N213" s="809">
        <f>AVERAGE(B213:E213)</f>
        <v>238960.29166666666</v>
      </c>
    </row>
    <row r="214" spans="1:14" ht="14.5" x14ac:dyDescent="0.35">
      <c r="B214" s="815"/>
      <c r="C214" s="815"/>
      <c r="D214" s="815"/>
      <c r="E214" s="815"/>
      <c r="F214" s="810"/>
      <c r="G214" s="810"/>
      <c r="H214" s="810"/>
      <c r="I214" s="810"/>
      <c r="J214" s="810"/>
      <c r="K214" s="810"/>
      <c r="L214" s="810"/>
      <c r="M214" s="815"/>
      <c r="N214" s="810"/>
    </row>
    <row r="215" spans="1:14" ht="14.5" x14ac:dyDescent="0.35">
      <c r="A215" s="817" t="s">
        <v>102</v>
      </c>
      <c r="B215" s="816" t="s">
        <v>138</v>
      </c>
      <c r="C215" s="816" t="s">
        <v>139</v>
      </c>
      <c r="D215" s="816" t="s">
        <v>128</v>
      </c>
      <c r="E215" s="817" t="s">
        <v>129</v>
      </c>
      <c r="F215" s="816" t="s">
        <v>130</v>
      </c>
      <c r="G215" s="816" t="s">
        <v>131</v>
      </c>
      <c r="H215" s="816" t="s">
        <v>132</v>
      </c>
      <c r="I215" s="816" t="s">
        <v>133</v>
      </c>
      <c r="J215" s="816" t="s">
        <v>134</v>
      </c>
      <c r="K215" s="816" t="s">
        <v>135</v>
      </c>
      <c r="L215" s="825" t="s">
        <v>136</v>
      </c>
      <c r="M215" s="816" t="s">
        <v>137</v>
      </c>
      <c r="N215" s="818" t="s">
        <v>98</v>
      </c>
    </row>
    <row r="216" spans="1:14" ht="14.5" x14ac:dyDescent="0.35">
      <c r="A216" s="833" t="s">
        <v>99</v>
      </c>
      <c r="B216" s="826">
        <v>59606</v>
      </c>
      <c r="C216" s="826">
        <v>63396</v>
      </c>
      <c r="D216" s="826">
        <v>52819.21</v>
      </c>
      <c r="E216" s="827">
        <v>53324</v>
      </c>
      <c r="F216" s="826">
        <v>61519</v>
      </c>
      <c r="G216" s="826">
        <v>70743</v>
      </c>
      <c r="H216" s="828">
        <v>55027</v>
      </c>
      <c r="I216" s="828">
        <v>54932</v>
      </c>
      <c r="J216" s="828">
        <v>43776</v>
      </c>
      <c r="K216" s="828">
        <v>49810</v>
      </c>
      <c r="L216" s="784">
        <v>75616</v>
      </c>
      <c r="M216" s="826">
        <v>68029</v>
      </c>
      <c r="N216" s="829">
        <f>AVERAGE(B216:E216)</f>
        <v>57286.302499999998</v>
      </c>
    </row>
    <row r="217" spans="1:14" ht="14.5" x14ac:dyDescent="0.35">
      <c r="A217" s="833" t="s">
        <v>37</v>
      </c>
      <c r="B217" s="826">
        <v>37370</v>
      </c>
      <c r="C217" s="826">
        <v>39971</v>
      </c>
      <c r="D217" s="826">
        <v>33459.82</v>
      </c>
      <c r="E217" s="827">
        <v>39860</v>
      </c>
      <c r="F217" s="826">
        <v>41717</v>
      </c>
      <c r="G217" s="826">
        <v>40181</v>
      </c>
      <c r="H217" s="828">
        <v>41079</v>
      </c>
      <c r="I217" s="828">
        <v>39875</v>
      </c>
      <c r="J217" s="828">
        <v>35835</v>
      </c>
      <c r="K217" s="828">
        <v>28946</v>
      </c>
      <c r="L217" s="784">
        <v>43422</v>
      </c>
      <c r="M217" s="826">
        <v>35147</v>
      </c>
      <c r="N217" s="829">
        <f>AVERAGE(B217:E217)</f>
        <v>37665.205000000002</v>
      </c>
    </row>
    <row r="218" spans="1:14" ht="14.5" x14ac:dyDescent="0.35">
      <c r="A218" s="833" t="s">
        <v>100</v>
      </c>
      <c r="B218" s="816"/>
      <c r="C218" s="826">
        <v>3428</v>
      </c>
      <c r="D218" s="826">
        <v>13471.49</v>
      </c>
      <c r="E218" s="827">
        <v>12544</v>
      </c>
      <c r="F218" s="826">
        <v>13788</v>
      </c>
      <c r="G218" s="826">
        <v>17451</v>
      </c>
      <c r="H218" s="828">
        <v>20924</v>
      </c>
      <c r="I218" s="828">
        <v>23756</v>
      </c>
      <c r="J218" s="828">
        <v>18015</v>
      </c>
      <c r="K218" s="828">
        <v>15778</v>
      </c>
      <c r="L218" s="825" t="s">
        <v>140</v>
      </c>
      <c r="M218" s="816"/>
      <c r="N218" s="829">
        <f>AVERAGE(B218:E218)</f>
        <v>9814.496666666666</v>
      </c>
    </row>
    <row r="219" spans="1:14" ht="14.5" x14ac:dyDescent="0.35">
      <c r="A219" s="833" t="s">
        <v>88</v>
      </c>
      <c r="B219" s="826">
        <v>47352</v>
      </c>
      <c r="C219" s="826">
        <v>49038</v>
      </c>
      <c r="D219" s="826">
        <v>21042</v>
      </c>
      <c r="E219" s="827">
        <v>35748</v>
      </c>
      <c r="F219" s="826">
        <v>44347</v>
      </c>
      <c r="G219" s="826">
        <v>72570</v>
      </c>
      <c r="H219" s="828">
        <v>89947</v>
      </c>
      <c r="I219" s="828">
        <v>99078</v>
      </c>
      <c r="J219" s="828">
        <v>75226</v>
      </c>
      <c r="K219" s="828">
        <v>76874</v>
      </c>
      <c r="L219" s="784">
        <v>51000</v>
      </c>
      <c r="M219" s="826">
        <v>41240</v>
      </c>
      <c r="N219" s="829">
        <f>AVERAGE(B219:E219)</f>
        <v>38295</v>
      </c>
    </row>
    <row r="220" spans="1:14" ht="14.5" x14ac:dyDescent="0.35">
      <c r="A220" s="834" t="s">
        <v>101</v>
      </c>
      <c r="B220" s="830">
        <f t="shared" ref="B220:F220" si="5">SUM(B216:B219)</f>
        <v>144328</v>
      </c>
      <c r="C220" s="830">
        <f t="shared" si="5"/>
        <v>155833</v>
      </c>
      <c r="D220" s="830">
        <f t="shared" si="5"/>
        <v>120792.52</v>
      </c>
      <c r="E220" s="830">
        <f t="shared" si="5"/>
        <v>141476</v>
      </c>
      <c r="F220" s="830">
        <f t="shared" si="5"/>
        <v>161371</v>
      </c>
      <c r="G220" s="830">
        <f>SUM(G216:G219)</f>
        <v>200945</v>
      </c>
      <c r="H220" s="823">
        <v>206977</v>
      </c>
      <c r="I220" s="823">
        <v>217641</v>
      </c>
      <c r="J220" s="823">
        <v>172852</v>
      </c>
      <c r="K220" s="823">
        <v>171408</v>
      </c>
      <c r="L220" s="807">
        <v>170038</v>
      </c>
      <c r="M220" s="830">
        <f>SUM(M216:M219)</f>
        <v>144416</v>
      </c>
      <c r="N220" s="830">
        <f>AVERAGE(B220:E220)</f>
        <v>140607.38</v>
      </c>
    </row>
    <row r="221" spans="1:14" ht="14.5" x14ac:dyDescent="0.35"/>
    <row r="222" spans="1:14" ht="14.5" x14ac:dyDescent="0.35"/>
    <row r="223" spans="1:14" ht="14.5" x14ac:dyDescent="0.35"/>
    <row r="224" spans="1:14" ht="14.5" x14ac:dyDescent="0.35">
      <c r="A224" s="628"/>
      <c r="B224" s="628"/>
      <c r="C224" s="542" t="s">
        <v>141</v>
      </c>
      <c r="D224" s="542" t="s">
        <v>142</v>
      </c>
      <c r="I224" s="262"/>
      <c r="J224" s="262"/>
      <c r="M224" s="262"/>
    </row>
    <row r="225" spans="1:13" s="580" customFormat="1" ht="14.5" x14ac:dyDescent="0.35">
      <c r="A225" s="192" t="s">
        <v>16</v>
      </c>
      <c r="B225" s="193">
        <v>45717</v>
      </c>
      <c r="C225" s="892">
        <f t="shared" ref="C225:C255" si="6">C4+C43+C79+C117+C156</f>
        <v>8470</v>
      </c>
      <c r="D225" s="893">
        <f>C225</f>
        <v>8470</v>
      </c>
      <c r="I225" s="623"/>
      <c r="K225"/>
      <c r="L225"/>
    </row>
    <row r="226" spans="1:13" ht="14.5" x14ac:dyDescent="0.35">
      <c r="A226" s="901" t="s">
        <v>18</v>
      </c>
      <c r="B226" s="902">
        <v>45718</v>
      </c>
      <c r="C226" s="831">
        <f t="shared" si="6"/>
        <v>0</v>
      </c>
      <c r="D226" s="579">
        <f>C225+C226</f>
        <v>8470</v>
      </c>
      <c r="I226" s="624"/>
    </row>
    <row r="227" spans="1:13" ht="14.5" x14ac:dyDescent="0.35">
      <c r="A227" s="192" t="s">
        <v>20</v>
      </c>
      <c r="B227" s="193">
        <v>45719</v>
      </c>
      <c r="C227" s="626">
        <f t="shared" si="6"/>
        <v>12459</v>
      </c>
      <c r="D227" s="584">
        <f t="shared" ref="D227:D254" si="7">D226+C227</f>
        <v>20929</v>
      </c>
      <c r="I227" s="624"/>
    </row>
    <row r="228" spans="1:13" ht="14.5" x14ac:dyDescent="0.35">
      <c r="A228" s="192" t="s">
        <v>22</v>
      </c>
      <c r="B228" s="193">
        <v>45720</v>
      </c>
      <c r="C228" s="626">
        <f t="shared" si="6"/>
        <v>9982</v>
      </c>
      <c r="D228" s="584">
        <f t="shared" si="7"/>
        <v>30911</v>
      </c>
      <c r="I228" s="624"/>
      <c r="K228" s="554"/>
      <c r="L228" s="555"/>
    </row>
    <row r="229" spans="1:13" ht="14.5" x14ac:dyDescent="0.35">
      <c r="A229" s="192" t="s">
        <v>24</v>
      </c>
      <c r="B229" s="193">
        <v>45721</v>
      </c>
      <c r="C229" s="626">
        <f t="shared" si="6"/>
        <v>12314</v>
      </c>
      <c r="D229" s="584">
        <f t="shared" si="7"/>
        <v>43225</v>
      </c>
      <c r="I229" s="624"/>
    </row>
    <row r="230" spans="1:13" ht="14.5" x14ac:dyDescent="0.35">
      <c r="A230" s="192" t="s">
        <v>10</v>
      </c>
      <c r="B230" s="193">
        <v>45722</v>
      </c>
      <c r="C230" s="626">
        <f t="shared" si="6"/>
        <v>6309</v>
      </c>
      <c r="D230" s="584">
        <f t="shared" si="7"/>
        <v>49534</v>
      </c>
      <c r="I230" s="624"/>
    </row>
    <row r="231" spans="1:13" ht="14.5" x14ac:dyDescent="0.35">
      <c r="A231" s="192" t="s">
        <v>13</v>
      </c>
      <c r="B231" s="193">
        <v>45723</v>
      </c>
      <c r="C231" s="626">
        <f t="shared" si="6"/>
        <v>5719</v>
      </c>
      <c r="D231" s="584">
        <f t="shared" si="7"/>
        <v>55253</v>
      </c>
      <c r="I231" s="624"/>
      <c r="J231" s="554"/>
      <c r="M231" s="554"/>
    </row>
    <row r="232" spans="1:13" ht="14.5" x14ac:dyDescent="0.35">
      <c r="A232" s="192" t="s">
        <v>16</v>
      </c>
      <c r="B232" s="193">
        <v>45724</v>
      </c>
      <c r="C232" s="626">
        <f t="shared" si="6"/>
        <v>9704</v>
      </c>
      <c r="D232" s="584">
        <f t="shared" si="7"/>
        <v>64957</v>
      </c>
      <c r="I232" s="625"/>
    </row>
    <row r="233" spans="1:13" ht="14.5" x14ac:dyDescent="0.35">
      <c r="A233" s="901" t="s">
        <v>18</v>
      </c>
      <c r="B233" s="902">
        <v>45725</v>
      </c>
      <c r="C233" s="831">
        <f t="shared" si="6"/>
        <v>0</v>
      </c>
      <c r="D233" s="579">
        <f t="shared" si="7"/>
        <v>64957</v>
      </c>
      <c r="I233" s="625"/>
    </row>
    <row r="234" spans="1:13" ht="14.5" x14ac:dyDescent="0.35">
      <c r="A234" s="192" t="s">
        <v>20</v>
      </c>
      <c r="B234" s="193">
        <v>45726</v>
      </c>
      <c r="C234" s="626">
        <f t="shared" si="6"/>
        <v>13292</v>
      </c>
      <c r="D234" s="584">
        <f t="shared" si="7"/>
        <v>78249</v>
      </c>
      <c r="I234" s="625"/>
    </row>
    <row r="235" spans="1:13" ht="14.5" x14ac:dyDescent="0.35">
      <c r="A235" s="192" t="s">
        <v>22</v>
      </c>
      <c r="B235" s="193">
        <v>45727</v>
      </c>
      <c r="C235" s="626">
        <f t="shared" si="6"/>
        <v>7695</v>
      </c>
      <c r="D235" s="584">
        <f t="shared" si="7"/>
        <v>85944</v>
      </c>
    </row>
    <row r="236" spans="1:13" ht="14.5" x14ac:dyDescent="0.35">
      <c r="A236" s="192" t="s">
        <v>24</v>
      </c>
      <c r="B236" s="193">
        <v>45728</v>
      </c>
      <c r="C236" s="626">
        <f t="shared" si="6"/>
        <v>7293</v>
      </c>
      <c r="D236" s="584">
        <f t="shared" si="7"/>
        <v>93237</v>
      </c>
      <c r="K236" s="580"/>
      <c r="L236" s="580"/>
    </row>
    <row r="237" spans="1:13" ht="14.5" x14ac:dyDescent="0.35">
      <c r="A237" s="192" t="s">
        <v>10</v>
      </c>
      <c r="B237" s="193">
        <v>45729</v>
      </c>
      <c r="C237" s="626">
        <f t="shared" si="6"/>
        <v>9972</v>
      </c>
      <c r="D237" s="584">
        <f t="shared" si="7"/>
        <v>103209</v>
      </c>
    </row>
    <row r="238" spans="1:13" ht="14.5" x14ac:dyDescent="0.35">
      <c r="A238" s="192" t="s">
        <v>13</v>
      </c>
      <c r="B238" s="193">
        <v>45730</v>
      </c>
      <c r="C238" s="626">
        <f>C17+C56+C92+C130+C169</f>
        <v>9295</v>
      </c>
      <c r="D238" s="584">
        <f t="shared" si="7"/>
        <v>112504</v>
      </c>
    </row>
    <row r="239" spans="1:13" s="580" customFormat="1" ht="14.5" x14ac:dyDescent="0.35">
      <c r="A239" s="192" t="s">
        <v>16</v>
      </c>
      <c r="B239" s="193">
        <v>45731</v>
      </c>
      <c r="C239" s="626">
        <f t="shared" si="6"/>
        <v>5494</v>
      </c>
      <c r="D239" s="584">
        <f t="shared" si="7"/>
        <v>117998</v>
      </c>
      <c r="K239"/>
      <c r="L239"/>
    </row>
    <row r="240" spans="1:13" ht="14.5" x14ac:dyDescent="0.35">
      <c r="A240" s="901" t="s">
        <v>18</v>
      </c>
      <c r="B240" s="902">
        <v>45732</v>
      </c>
      <c r="C240" s="831">
        <f t="shared" si="6"/>
        <v>0</v>
      </c>
      <c r="D240" s="579">
        <f t="shared" si="7"/>
        <v>117998</v>
      </c>
    </row>
    <row r="241" spans="1:12" ht="14.5" x14ac:dyDescent="0.35">
      <c r="A241" s="192" t="s">
        <v>20</v>
      </c>
      <c r="B241" s="193">
        <v>45733</v>
      </c>
      <c r="C241" s="626">
        <f t="shared" si="6"/>
        <v>12295</v>
      </c>
      <c r="D241" s="584">
        <f t="shared" si="7"/>
        <v>130293</v>
      </c>
    </row>
    <row r="242" spans="1:12" ht="14.5" x14ac:dyDescent="0.35">
      <c r="A242" s="192" t="s">
        <v>22</v>
      </c>
      <c r="B242" s="193">
        <v>45734</v>
      </c>
      <c r="C242" s="626">
        <f t="shared" si="6"/>
        <v>12961</v>
      </c>
      <c r="D242" s="584">
        <f t="shared" si="7"/>
        <v>143254</v>
      </c>
    </row>
    <row r="243" spans="1:12" ht="14.5" x14ac:dyDescent="0.35">
      <c r="A243" s="192" t="s">
        <v>24</v>
      </c>
      <c r="B243" s="193">
        <v>45735</v>
      </c>
      <c r="C243" s="626">
        <f t="shared" si="6"/>
        <v>10482</v>
      </c>
      <c r="D243" s="584">
        <f t="shared" si="7"/>
        <v>153736</v>
      </c>
      <c r="K243" s="580"/>
      <c r="L243" s="580"/>
    </row>
    <row r="244" spans="1:12" ht="15" customHeight="1" x14ac:dyDescent="0.35">
      <c r="A244" s="192" t="s">
        <v>10</v>
      </c>
      <c r="B244" s="193">
        <v>45736</v>
      </c>
      <c r="C244" s="626">
        <f t="shared" si="6"/>
        <v>6978</v>
      </c>
      <c r="D244" s="584">
        <f t="shared" si="7"/>
        <v>160714</v>
      </c>
    </row>
    <row r="245" spans="1:12" ht="15" customHeight="1" x14ac:dyDescent="0.35">
      <c r="A245" s="192" t="s">
        <v>13</v>
      </c>
      <c r="B245" s="193">
        <v>45737</v>
      </c>
      <c r="C245" s="626">
        <f t="shared" si="6"/>
        <v>12559</v>
      </c>
      <c r="D245" s="584">
        <f t="shared" si="7"/>
        <v>173273</v>
      </c>
    </row>
    <row r="246" spans="1:12" s="580" customFormat="1" ht="15" customHeight="1" x14ac:dyDescent="0.35">
      <c r="A246" s="192" t="s">
        <v>16</v>
      </c>
      <c r="B246" s="193">
        <v>45738</v>
      </c>
      <c r="C246" s="626">
        <f t="shared" si="6"/>
        <v>10164</v>
      </c>
      <c r="D246" s="584">
        <f t="shared" si="7"/>
        <v>183437</v>
      </c>
      <c r="K246"/>
      <c r="L246"/>
    </row>
    <row r="247" spans="1:12" ht="15" customHeight="1" x14ac:dyDescent="0.35">
      <c r="A247" s="901" t="s">
        <v>18</v>
      </c>
      <c r="B247" s="902">
        <v>45739</v>
      </c>
      <c r="C247" s="831">
        <f t="shared" si="6"/>
        <v>0</v>
      </c>
      <c r="D247" s="579">
        <f t="shared" si="7"/>
        <v>183437</v>
      </c>
    </row>
    <row r="248" spans="1:12" ht="15" customHeight="1" x14ac:dyDescent="0.35">
      <c r="A248" s="192" t="s">
        <v>20</v>
      </c>
      <c r="B248" s="193">
        <v>45740</v>
      </c>
      <c r="C248" s="626">
        <f t="shared" si="6"/>
        <v>7357</v>
      </c>
      <c r="D248" s="584">
        <f t="shared" si="7"/>
        <v>190794</v>
      </c>
    </row>
    <row r="249" spans="1:12" ht="15" customHeight="1" x14ac:dyDescent="0.35">
      <c r="A249" s="192" t="s">
        <v>22</v>
      </c>
      <c r="B249" s="193">
        <v>45741</v>
      </c>
      <c r="C249" s="626">
        <f t="shared" si="6"/>
        <v>6593</v>
      </c>
      <c r="D249" s="584">
        <f t="shared" si="7"/>
        <v>197387</v>
      </c>
    </row>
    <row r="250" spans="1:12" ht="15" customHeight="1" x14ac:dyDescent="0.35">
      <c r="A250" s="192" t="s">
        <v>24</v>
      </c>
      <c r="B250" s="193">
        <v>45742</v>
      </c>
      <c r="C250" s="626">
        <f t="shared" si="6"/>
        <v>8001</v>
      </c>
      <c r="D250" s="584">
        <f t="shared" si="7"/>
        <v>205388</v>
      </c>
      <c r="K250" s="580"/>
      <c r="L250" s="580"/>
    </row>
    <row r="251" spans="1:12" ht="15" customHeight="1" x14ac:dyDescent="0.35">
      <c r="A251" s="192" t="s">
        <v>10</v>
      </c>
      <c r="B251" s="193">
        <v>45743</v>
      </c>
      <c r="C251" s="626">
        <f t="shared" si="6"/>
        <v>9047</v>
      </c>
      <c r="D251" s="584">
        <f t="shared" si="7"/>
        <v>214435</v>
      </c>
    </row>
    <row r="252" spans="1:12" ht="15" customHeight="1" x14ac:dyDescent="0.35">
      <c r="A252" s="192" t="s">
        <v>13</v>
      </c>
      <c r="B252" s="193">
        <v>45744</v>
      </c>
      <c r="C252" s="626">
        <f t="shared" si="6"/>
        <v>11321</v>
      </c>
      <c r="D252" s="584">
        <f t="shared" si="7"/>
        <v>225756</v>
      </c>
    </row>
    <row r="253" spans="1:12" s="580" customFormat="1" ht="15" customHeight="1" x14ac:dyDescent="0.35">
      <c r="A253" s="192" t="s">
        <v>16</v>
      </c>
      <c r="B253" s="193">
        <v>45745</v>
      </c>
      <c r="C253" s="626">
        <f t="shared" si="6"/>
        <v>6959</v>
      </c>
      <c r="D253" s="584">
        <f t="shared" si="7"/>
        <v>232715</v>
      </c>
      <c r="K253"/>
      <c r="L253"/>
    </row>
    <row r="254" spans="1:12" ht="15" customHeight="1" x14ac:dyDescent="0.35">
      <c r="A254" s="901" t="s">
        <v>18</v>
      </c>
      <c r="B254" s="902">
        <v>45746</v>
      </c>
      <c r="C254" s="831">
        <f t="shared" si="6"/>
        <v>0</v>
      </c>
      <c r="D254" s="579">
        <f t="shared" si="7"/>
        <v>232715</v>
      </c>
    </row>
    <row r="255" spans="1:12" ht="15" customHeight="1" x14ac:dyDescent="0.35">
      <c r="A255" s="192" t="s">
        <v>20</v>
      </c>
      <c r="B255" s="193">
        <v>45747</v>
      </c>
      <c r="C255" s="626">
        <f t="shared" si="6"/>
        <v>12788</v>
      </c>
      <c r="D255" s="584">
        <f>D254+C255</f>
        <v>245503</v>
      </c>
    </row>
  </sheetData>
  <mergeCells count="22">
    <mergeCell ref="O152:P155"/>
    <mergeCell ref="Q152:S153"/>
    <mergeCell ref="Q154:Q155"/>
    <mergeCell ref="B1:F1"/>
    <mergeCell ref="B2:B3"/>
    <mergeCell ref="C2:C3"/>
    <mergeCell ref="L4:M4"/>
    <mergeCell ref="B41:B42"/>
    <mergeCell ref="C41:C42"/>
    <mergeCell ref="K117:L117"/>
    <mergeCell ref="A152:B155"/>
    <mergeCell ref="C152:E153"/>
    <mergeCell ref="C154:C155"/>
    <mergeCell ref="K43:L43"/>
    <mergeCell ref="B77:B78"/>
    <mergeCell ref="C77:C78"/>
    <mergeCell ref="K78:L78"/>
    <mergeCell ref="B115:B116"/>
    <mergeCell ref="C115:C116"/>
    <mergeCell ref="H152:I155"/>
    <mergeCell ref="J152:L153"/>
    <mergeCell ref="J154:J155"/>
  </mergeCells>
  <phoneticPr fontId="19" type="noConversion"/>
  <conditionalFormatting sqref="A4:F4 I4:I34 A5:B34">
    <cfRule type="expression" dxfId="118" priority="9">
      <formula>ISODD(ROW())</formula>
    </cfRule>
  </conditionalFormatting>
  <conditionalFormatting sqref="A43:F43 H43:I43 H79:I79 A79:F109 H117:I117">
    <cfRule type="expression" dxfId="117" priority="12">
      <formula>ISEVEN(ROW())</formula>
    </cfRule>
  </conditionalFormatting>
  <conditionalFormatting sqref="A156:F186 A225:B255">
    <cfRule type="expression" dxfId="116" priority="3">
      <formula>ISODD(ROW())</formula>
    </cfRule>
  </conditionalFormatting>
  <conditionalFormatting sqref="A44:I73 G80:I104 G106:I109 A117:F147 G118:I142 G144:I147">
    <cfRule type="expression" dxfId="115" priority="10">
      <formula>ISEVEN(ROW())</formula>
    </cfRule>
  </conditionalFormatting>
  <conditionalFormatting sqref="C5:F5">
    <cfRule type="expression" dxfId="114" priority="11">
      <formula>ISEVEN(ROW())</formula>
    </cfRule>
  </conditionalFormatting>
  <conditionalFormatting sqref="C6:H21 C22:G22 C23:H34">
    <cfRule type="expression" dxfId="113" priority="5">
      <formula>ISODD(ROW())</formula>
    </cfRule>
  </conditionalFormatting>
  <conditionalFormatting sqref="G5">
    <cfRule type="expression" dxfId="112" priority="6">
      <formula>ISODD(ROW())</formula>
    </cfRule>
  </conditionalFormatting>
  <conditionalFormatting sqref="H4:H5">
    <cfRule type="expression" dxfId="111" priority="7">
      <formula>ISODD(ROW())</formula>
    </cfRule>
  </conditionalFormatting>
  <conditionalFormatting sqref="H156:M186">
    <cfRule type="expression" dxfId="110" priority="2">
      <formula>ISODD(ROW())</formula>
    </cfRule>
  </conditionalFormatting>
  <conditionalFormatting sqref="M2 O3:O16 O18:O21 O27:O32 O34:O35 K37:K39 O41:O43 O49:O60 M55:M59 M65:M68 O65:O74 O77:O110 M111:M151 G154:G186">
    <cfRule type="cellIs" dxfId="109" priority="13" operator="greaterThan">
      <formula>0</formula>
    </cfRule>
    <cfRule type="cellIs" dxfId="108" priority="14" operator="lessThan">
      <formula>0</formula>
    </cfRule>
  </conditionalFormatting>
  <conditionalFormatting sqref="O156:T186">
    <cfRule type="expression" dxfId="107" priority="1">
      <formula>ISODD(ROW())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B370-BB36-49CB-BDDC-C0690A7899E7}">
  <sheetPr>
    <tabColor rgb="FFFFFF00"/>
  </sheetPr>
  <dimension ref="A1:O255"/>
  <sheetViews>
    <sheetView topLeftCell="A184" workbookViewId="0">
      <selection activeCell="F194" sqref="F194"/>
    </sheetView>
  </sheetViews>
  <sheetFormatPr defaultColWidth="9.1796875" defaultRowHeight="15" customHeight="1" x14ac:dyDescent="0.35"/>
  <cols>
    <col min="1" max="1" width="18.453125" customWidth="1"/>
    <col min="2" max="2" width="21" customWidth="1"/>
    <col min="3" max="3" width="16.453125" customWidth="1"/>
    <col min="4" max="4" width="16.1796875" customWidth="1"/>
    <col min="5" max="5" width="18.81640625" customWidth="1"/>
    <col min="6" max="6" width="19.54296875" customWidth="1"/>
    <col min="7" max="7" width="16.453125" customWidth="1"/>
    <col min="8" max="8" width="18.1796875" customWidth="1"/>
    <col min="9" max="9" width="16.26953125" bestFit="1" customWidth="1"/>
    <col min="10" max="10" width="15.81640625" bestFit="1" customWidth="1"/>
    <col min="11" max="11" width="17.81640625" customWidth="1"/>
    <col min="12" max="12" width="17.54296875" bestFit="1" customWidth="1"/>
    <col min="13" max="13" width="17.453125" customWidth="1"/>
    <col min="14" max="14" width="18.453125" customWidth="1"/>
    <col min="15" max="15" width="14.81640625" customWidth="1"/>
    <col min="16" max="16" width="12.54296875" customWidth="1"/>
    <col min="17" max="17" width="15.1796875" customWidth="1"/>
  </cols>
  <sheetData>
    <row r="1" spans="1:15" ht="17.5" customHeight="1" thickBot="1" x14ac:dyDescent="0.5">
      <c r="A1" s="262"/>
      <c r="B1" s="930" t="s">
        <v>0</v>
      </c>
      <c r="C1" s="930"/>
      <c r="D1" s="930"/>
      <c r="E1" s="930"/>
      <c r="F1" s="930"/>
      <c r="G1" s="262"/>
      <c r="H1" s="262"/>
      <c r="I1" s="262"/>
      <c r="J1" s="262"/>
      <c r="K1" s="262"/>
      <c r="L1" s="262"/>
      <c r="M1" s="262"/>
    </row>
    <row r="2" spans="1:15" ht="15.65" customHeight="1" thickBot="1" x14ac:dyDescent="0.45">
      <c r="A2" s="348"/>
      <c r="B2" s="926" t="s">
        <v>1</v>
      </c>
      <c r="C2" s="928" t="s">
        <v>0</v>
      </c>
      <c r="D2" s="298" t="s">
        <v>2</v>
      </c>
      <c r="E2" s="184" t="s">
        <v>3</v>
      </c>
      <c r="F2" s="772" t="s">
        <v>4</v>
      </c>
      <c r="G2" s="774" t="s">
        <v>143</v>
      </c>
      <c r="H2" s="186" t="s">
        <v>6</v>
      </c>
      <c r="I2" s="775" t="s">
        <v>7</v>
      </c>
      <c r="K2" s="349"/>
      <c r="L2" s="349"/>
      <c r="M2" s="349"/>
      <c r="N2" s="349"/>
    </row>
    <row r="3" spans="1:15" ht="30.75" customHeight="1" x14ac:dyDescent="0.4">
      <c r="A3" s="497"/>
      <c r="B3" s="927"/>
      <c r="C3" s="929"/>
      <c r="D3" s="299" t="s">
        <v>0</v>
      </c>
      <c r="E3" s="498" t="s">
        <v>0</v>
      </c>
      <c r="F3" s="772" t="s">
        <v>0</v>
      </c>
      <c r="G3" s="664" t="s">
        <v>0</v>
      </c>
      <c r="H3" s="665" t="s">
        <v>8</v>
      </c>
      <c r="I3" s="666" t="s">
        <v>9</v>
      </c>
      <c r="K3" s="262"/>
      <c r="L3" s="262"/>
      <c r="M3" s="262"/>
      <c r="N3" s="262"/>
      <c r="O3" s="262"/>
    </row>
    <row r="4" spans="1:15" ht="14.5" x14ac:dyDescent="0.35">
      <c r="A4" s="192" t="s">
        <v>16</v>
      </c>
      <c r="B4" s="193">
        <v>45689</v>
      </c>
      <c r="C4" s="194">
        <v>1495</v>
      </c>
      <c r="D4" s="195">
        <v>0</v>
      </c>
      <c r="E4" s="286">
        <v>0</v>
      </c>
      <c r="F4" s="673">
        <v>2</v>
      </c>
      <c r="G4" s="858">
        <v>1</v>
      </c>
      <c r="H4" s="843" t="s">
        <v>336</v>
      </c>
      <c r="I4" s="733">
        <v>17</v>
      </c>
      <c r="K4" s="262"/>
      <c r="L4" s="923" t="s">
        <v>12</v>
      </c>
      <c r="M4" s="923"/>
      <c r="N4" s="262"/>
      <c r="O4" s="262"/>
    </row>
    <row r="5" spans="1:15" ht="14.5" x14ac:dyDescent="0.35">
      <c r="A5" s="192" t="s">
        <v>18</v>
      </c>
      <c r="B5" s="193">
        <v>45690</v>
      </c>
      <c r="C5" s="200"/>
      <c r="D5" s="201"/>
      <c r="E5" s="557"/>
      <c r="F5" s="859"/>
      <c r="G5" s="674"/>
      <c r="H5" s="736"/>
      <c r="I5" s="734"/>
      <c r="K5" s="262"/>
      <c r="L5" s="503" t="s">
        <v>15</v>
      </c>
      <c r="M5" s="365">
        <v>65000</v>
      </c>
      <c r="N5" s="262"/>
      <c r="O5" s="262"/>
    </row>
    <row r="6" spans="1:15" ht="14.5" x14ac:dyDescent="0.35">
      <c r="A6" s="192" t="s">
        <v>20</v>
      </c>
      <c r="B6" s="193">
        <v>45691</v>
      </c>
      <c r="C6" s="205">
        <v>3532</v>
      </c>
      <c r="D6" s="206">
        <v>158</v>
      </c>
      <c r="E6" s="612">
        <v>0</v>
      </c>
      <c r="F6" s="619">
        <v>0</v>
      </c>
      <c r="G6" s="686">
        <v>2</v>
      </c>
      <c r="H6" s="844" t="s">
        <v>337</v>
      </c>
      <c r="I6" s="735">
        <v>22</v>
      </c>
      <c r="K6" s="262"/>
      <c r="L6" s="504" t="s">
        <v>17</v>
      </c>
      <c r="M6" s="371">
        <v>2000</v>
      </c>
      <c r="N6" s="262"/>
      <c r="O6" s="262"/>
    </row>
    <row r="7" spans="1:15" ht="14.5" x14ac:dyDescent="0.35">
      <c r="A7" s="192" t="s">
        <v>22</v>
      </c>
      <c r="B7" s="193">
        <v>45692</v>
      </c>
      <c r="C7" s="209">
        <v>1289</v>
      </c>
      <c r="D7" s="210">
        <v>25</v>
      </c>
      <c r="E7" s="287">
        <v>0</v>
      </c>
      <c r="F7" s="243">
        <v>0</v>
      </c>
      <c r="G7" s="686">
        <v>5</v>
      </c>
      <c r="H7" s="844" t="s">
        <v>338</v>
      </c>
      <c r="I7" s="735">
        <v>13</v>
      </c>
      <c r="K7" s="262"/>
      <c r="L7" s="515" t="s">
        <v>19</v>
      </c>
      <c r="M7" s="376">
        <v>25</v>
      </c>
      <c r="N7" s="262"/>
      <c r="O7" s="262"/>
    </row>
    <row r="8" spans="1:15" ht="14.5" x14ac:dyDescent="0.35">
      <c r="A8" s="192" t="s">
        <v>24</v>
      </c>
      <c r="B8" s="193">
        <v>45693</v>
      </c>
      <c r="C8" s="205">
        <v>4583</v>
      </c>
      <c r="D8" s="206">
        <v>210</v>
      </c>
      <c r="E8" s="612">
        <v>0</v>
      </c>
      <c r="F8" s="670">
        <v>0</v>
      </c>
      <c r="G8" s="675">
        <v>1</v>
      </c>
      <c r="H8" s="844" t="s">
        <v>339</v>
      </c>
      <c r="I8" s="735">
        <v>14</v>
      </c>
      <c r="K8" s="262"/>
      <c r="L8" s="836"/>
      <c r="M8" s="837"/>
      <c r="N8" s="262"/>
      <c r="O8" s="262"/>
    </row>
    <row r="9" spans="1:15" ht="14.5" x14ac:dyDescent="0.35">
      <c r="A9" s="192" t="s">
        <v>10</v>
      </c>
      <c r="B9" s="193">
        <v>45694</v>
      </c>
      <c r="C9" s="212">
        <v>2797</v>
      </c>
      <c r="D9" s="213">
        <v>29</v>
      </c>
      <c r="E9" s="611">
        <v>0</v>
      </c>
      <c r="F9" s="672">
        <v>1</v>
      </c>
      <c r="G9" s="676">
        <v>1</v>
      </c>
      <c r="H9" s="845" t="s">
        <v>340</v>
      </c>
      <c r="I9" s="734">
        <v>14</v>
      </c>
      <c r="K9" s="262"/>
      <c r="N9" s="262"/>
      <c r="O9" s="262"/>
    </row>
    <row r="10" spans="1:15" ht="14.5" x14ac:dyDescent="0.35">
      <c r="A10" s="192" t="s">
        <v>13</v>
      </c>
      <c r="B10" s="193">
        <v>45695</v>
      </c>
      <c r="C10" s="214">
        <v>2983</v>
      </c>
      <c r="D10" s="195">
        <v>118</v>
      </c>
      <c r="E10" s="615">
        <v>0</v>
      </c>
      <c r="F10" s="246">
        <v>0</v>
      </c>
      <c r="G10" s="254">
        <v>7</v>
      </c>
      <c r="H10" s="736" t="s">
        <v>341</v>
      </c>
      <c r="I10" s="736">
        <v>22</v>
      </c>
      <c r="K10" s="262"/>
      <c r="L10" s="262"/>
      <c r="M10" s="262"/>
      <c r="N10" s="262"/>
      <c r="O10" s="262"/>
    </row>
    <row r="11" spans="1:15" ht="14.5" x14ac:dyDescent="0.35">
      <c r="A11" s="192" t="s">
        <v>16</v>
      </c>
      <c r="B11" s="193">
        <v>45696</v>
      </c>
      <c r="C11" s="217">
        <v>2198</v>
      </c>
      <c r="D11" s="218">
        <v>59</v>
      </c>
      <c r="E11" s="691">
        <v>0</v>
      </c>
      <c r="F11" s="730">
        <v>0</v>
      </c>
      <c r="G11" s="729">
        <v>1</v>
      </c>
      <c r="H11" s="737" t="s">
        <v>342</v>
      </c>
      <c r="I11" s="737">
        <v>21</v>
      </c>
      <c r="K11" s="262"/>
      <c r="L11" s="262"/>
      <c r="M11" s="262"/>
      <c r="N11" s="262"/>
      <c r="O11" s="262"/>
    </row>
    <row r="12" spans="1:15" ht="14.5" x14ac:dyDescent="0.35">
      <c r="A12" s="192" t="s">
        <v>18</v>
      </c>
      <c r="B12" s="193">
        <v>45697</v>
      </c>
      <c r="C12" s="221"/>
      <c r="D12" s="222"/>
      <c r="E12" s="692"/>
      <c r="F12" s="731"/>
      <c r="G12" s="732"/>
      <c r="H12" s="738"/>
      <c r="I12" s="738"/>
      <c r="K12" s="262"/>
      <c r="L12" s="262"/>
      <c r="M12" s="262"/>
      <c r="N12" s="262"/>
      <c r="O12" s="262"/>
    </row>
    <row r="13" spans="1:15" ht="14.5" x14ac:dyDescent="0.35">
      <c r="A13" s="192" t="s">
        <v>20</v>
      </c>
      <c r="B13" s="193">
        <v>45698</v>
      </c>
      <c r="C13" s="225">
        <v>3541</v>
      </c>
      <c r="D13" s="226">
        <v>0</v>
      </c>
      <c r="E13" s="227">
        <v>0</v>
      </c>
      <c r="F13" s="227">
        <v>0</v>
      </c>
      <c r="G13" s="679">
        <v>6</v>
      </c>
      <c r="H13" s="739" t="s">
        <v>343</v>
      </c>
      <c r="I13" s="739">
        <v>26</v>
      </c>
      <c r="K13" s="262"/>
      <c r="L13" s="262"/>
      <c r="M13" s="262"/>
      <c r="N13" s="262"/>
      <c r="O13" s="262"/>
    </row>
    <row r="14" spans="1:15" ht="14.5" x14ac:dyDescent="0.35">
      <c r="A14" s="192" t="s">
        <v>22</v>
      </c>
      <c r="B14" s="193">
        <v>45699</v>
      </c>
      <c r="C14" s="229">
        <v>2594</v>
      </c>
      <c r="D14" s="230">
        <v>54</v>
      </c>
      <c r="E14" s="231">
        <v>0</v>
      </c>
      <c r="F14" s="231">
        <v>2</v>
      </c>
      <c r="G14" s="680">
        <v>1</v>
      </c>
      <c r="H14" s="740" t="s">
        <v>344</v>
      </c>
      <c r="I14" s="740">
        <v>16</v>
      </c>
      <c r="K14" s="262"/>
      <c r="L14" s="262"/>
      <c r="M14" s="262"/>
      <c r="N14" s="262"/>
      <c r="O14" s="262"/>
    </row>
    <row r="15" spans="1:15" ht="14.5" x14ac:dyDescent="0.35">
      <c r="A15" s="192" t="s">
        <v>24</v>
      </c>
      <c r="B15" s="193">
        <v>45700</v>
      </c>
      <c r="C15" s="225">
        <v>1796</v>
      </c>
      <c r="D15" s="226">
        <v>29</v>
      </c>
      <c r="E15" s="227">
        <v>0</v>
      </c>
      <c r="F15" s="227">
        <v>1</v>
      </c>
      <c r="G15" s="679">
        <v>0</v>
      </c>
      <c r="H15" s="846" t="s">
        <v>345</v>
      </c>
      <c r="I15" s="739">
        <v>12</v>
      </c>
      <c r="K15" s="262"/>
      <c r="L15" s="262"/>
      <c r="M15" s="262"/>
      <c r="N15" s="262"/>
      <c r="O15" s="262"/>
    </row>
    <row r="16" spans="1:15" ht="14.5" x14ac:dyDescent="0.35">
      <c r="A16" s="192" t="s">
        <v>10</v>
      </c>
      <c r="B16" s="193">
        <v>45701</v>
      </c>
      <c r="C16" s="233">
        <v>445</v>
      </c>
      <c r="D16" s="234">
        <v>0</v>
      </c>
      <c r="E16" s="235">
        <v>0</v>
      </c>
      <c r="F16" s="235">
        <v>0</v>
      </c>
      <c r="G16" s="681">
        <v>0</v>
      </c>
      <c r="H16" s="847" t="s">
        <v>346</v>
      </c>
      <c r="I16" s="741">
        <v>0</v>
      </c>
      <c r="K16" s="262"/>
      <c r="L16" s="262"/>
      <c r="M16" s="262"/>
      <c r="N16" s="262"/>
      <c r="O16" s="262"/>
    </row>
    <row r="17" spans="1:15" ht="14.5" x14ac:dyDescent="0.35">
      <c r="A17" s="192" t="s">
        <v>13</v>
      </c>
      <c r="B17" s="193">
        <v>45702</v>
      </c>
      <c r="C17" s="225"/>
      <c r="D17" s="226"/>
      <c r="E17" s="227"/>
      <c r="F17" s="227"/>
      <c r="G17" s="679"/>
      <c r="H17" s="846"/>
      <c r="I17" s="739"/>
      <c r="J17" t="s">
        <v>347</v>
      </c>
      <c r="K17" s="262"/>
      <c r="L17" s="262"/>
      <c r="M17" s="262"/>
      <c r="N17" s="262"/>
      <c r="O17" s="262"/>
    </row>
    <row r="18" spans="1:15" ht="14.5" x14ac:dyDescent="0.35">
      <c r="A18" s="192" t="s">
        <v>16</v>
      </c>
      <c r="B18" s="193">
        <v>45703</v>
      </c>
      <c r="C18" s="233">
        <v>1977</v>
      </c>
      <c r="D18" s="195">
        <v>87</v>
      </c>
      <c r="E18" s="215">
        <v>0</v>
      </c>
      <c r="F18" s="215">
        <v>0</v>
      </c>
      <c r="G18" s="682">
        <v>2</v>
      </c>
      <c r="H18" s="848" t="s">
        <v>348</v>
      </c>
      <c r="I18" s="736">
        <v>16</v>
      </c>
      <c r="K18" s="262"/>
      <c r="L18" s="262"/>
      <c r="M18" s="262"/>
      <c r="N18" s="262"/>
      <c r="O18" s="262"/>
    </row>
    <row r="19" spans="1:15" ht="14.5" x14ac:dyDescent="0.35">
      <c r="A19" s="192" t="s">
        <v>18</v>
      </c>
      <c r="B19" s="193">
        <v>45704</v>
      </c>
      <c r="C19" s="209"/>
      <c r="D19" s="213"/>
      <c r="E19" s="203"/>
      <c r="F19" s="203"/>
      <c r="G19" s="676"/>
      <c r="H19" s="845"/>
      <c r="I19" s="734"/>
      <c r="K19" s="262"/>
      <c r="L19" s="262"/>
      <c r="M19" s="262"/>
      <c r="N19" s="262"/>
      <c r="O19" s="262"/>
    </row>
    <row r="20" spans="1:15" ht="14.5" x14ac:dyDescent="0.35">
      <c r="A20" s="192" t="s">
        <v>20</v>
      </c>
      <c r="B20" s="193">
        <v>45705</v>
      </c>
      <c r="C20" s="233">
        <v>3537</v>
      </c>
      <c r="D20" s="234">
        <v>54</v>
      </c>
      <c r="E20" s="215">
        <v>0</v>
      </c>
      <c r="F20" s="215">
        <v>1</v>
      </c>
      <c r="G20" s="682">
        <v>2</v>
      </c>
      <c r="H20" s="848" t="s">
        <v>349</v>
      </c>
      <c r="I20" s="736">
        <v>26</v>
      </c>
      <c r="K20" s="262"/>
      <c r="L20" s="262"/>
      <c r="M20" s="262"/>
      <c r="N20" s="262"/>
      <c r="O20" s="262"/>
    </row>
    <row r="21" spans="1:15" ht="14.5" x14ac:dyDescent="0.35">
      <c r="A21" s="192" t="s">
        <v>22</v>
      </c>
      <c r="B21" s="193">
        <v>45706</v>
      </c>
      <c r="C21" s="237">
        <v>2946</v>
      </c>
      <c r="D21" s="238">
        <v>141</v>
      </c>
      <c r="E21" s="239">
        <v>0</v>
      </c>
      <c r="F21" s="239">
        <v>0</v>
      </c>
      <c r="G21" s="683">
        <v>5</v>
      </c>
      <c r="H21" s="849" t="s">
        <v>350</v>
      </c>
      <c r="I21" s="742">
        <v>23</v>
      </c>
      <c r="K21" s="262"/>
      <c r="L21" s="262"/>
      <c r="M21" s="262"/>
      <c r="N21" s="262"/>
      <c r="O21" s="262"/>
    </row>
    <row r="22" spans="1:15" ht="14.5" x14ac:dyDescent="0.35">
      <c r="A22" s="192" t="s">
        <v>24</v>
      </c>
      <c r="B22" s="193">
        <v>45707</v>
      </c>
      <c r="C22" s="214">
        <v>1646</v>
      </c>
      <c r="D22" s="195">
        <v>0</v>
      </c>
      <c r="E22" s="215">
        <v>0</v>
      </c>
      <c r="F22" s="215">
        <v>0</v>
      </c>
      <c r="G22" s="682">
        <v>2</v>
      </c>
      <c r="H22" s="262" t="s">
        <v>351</v>
      </c>
      <c r="I22" s="736">
        <v>17</v>
      </c>
      <c r="K22" s="262"/>
      <c r="L22" s="262"/>
      <c r="M22" s="262"/>
      <c r="N22" s="262"/>
      <c r="O22" s="262"/>
    </row>
    <row r="23" spans="1:15" ht="14.5" x14ac:dyDescent="0.35">
      <c r="A23" s="192" t="s">
        <v>10</v>
      </c>
      <c r="B23" s="193">
        <v>45708</v>
      </c>
      <c r="C23" s="237">
        <v>1731</v>
      </c>
      <c r="D23" s="238">
        <v>0</v>
      </c>
      <c r="E23" s="239">
        <v>0</v>
      </c>
      <c r="F23" s="239">
        <v>0</v>
      </c>
      <c r="G23" s="683">
        <v>2</v>
      </c>
      <c r="H23" s="848" t="s">
        <v>352</v>
      </c>
      <c r="I23" s="742">
        <v>11</v>
      </c>
      <c r="K23" s="262"/>
      <c r="L23" s="262"/>
      <c r="M23" s="262"/>
      <c r="N23" s="262"/>
      <c r="O23" s="262"/>
    </row>
    <row r="24" spans="1:15" ht="14.5" x14ac:dyDescent="0.35">
      <c r="A24" s="192" t="s">
        <v>13</v>
      </c>
      <c r="B24" s="193">
        <v>45709</v>
      </c>
      <c r="C24" s="205">
        <v>2717</v>
      </c>
      <c r="D24" s="206">
        <v>83</v>
      </c>
      <c r="E24" s="207">
        <v>0</v>
      </c>
      <c r="F24" s="207">
        <v>1</v>
      </c>
      <c r="G24" s="675">
        <v>1</v>
      </c>
      <c r="H24" s="844" t="s">
        <v>353</v>
      </c>
      <c r="I24" s="735">
        <v>14</v>
      </c>
      <c r="K24" s="262"/>
      <c r="L24" s="262"/>
      <c r="M24" s="262"/>
      <c r="N24" s="262"/>
      <c r="O24" s="262"/>
    </row>
    <row r="25" spans="1:15" ht="14.5" x14ac:dyDescent="0.35">
      <c r="A25" s="192" t="s">
        <v>16</v>
      </c>
      <c r="B25" s="193">
        <v>45710</v>
      </c>
      <c r="C25" s="209">
        <v>3332</v>
      </c>
      <c r="D25" s="210">
        <v>29</v>
      </c>
      <c r="E25" s="211">
        <v>0</v>
      </c>
      <c r="F25" s="211">
        <v>0</v>
      </c>
      <c r="G25" s="684">
        <v>2</v>
      </c>
      <c r="H25" s="850" t="s">
        <v>354</v>
      </c>
      <c r="I25" s="743">
        <v>22</v>
      </c>
      <c r="K25" s="262"/>
      <c r="L25" s="262"/>
      <c r="M25" s="262"/>
      <c r="N25" s="262"/>
      <c r="O25" s="262"/>
    </row>
    <row r="26" spans="1:15" ht="14.5" x14ac:dyDescent="0.35">
      <c r="A26" s="192" t="s">
        <v>18</v>
      </c>
      <c r="B26" s="193">
        <v>45711</v>
      </c>
      <c r="C26" s="233"/>
      <c r="D26" s="234"/>
      <c r="E26" s="235"/>
      <c r="F26" s="235"/>
      <c r="G26" s="681"/>
      <c r="H26" s="847"/>
      <c r="I26" s="741"/>
      <c r="K26" s="262"/>
      <c r="L26" s="262"/>
      <c r="M26" s="262"/>
      <c r="N26" s="262"/>
      <c r="O26" s="262"/>
    </row>
    <row r="27" spans="1:15" ht="14.5" x14ac:dyDescent="0.35">
      <c r="A27" s="192" t="s">
        <v>20</v>
      </c>
      <c r="B27" s="193">
        <v>45712</v>
      </c>
      <c r="C27" s="237">
        <v>3568</v>
      </c>
      <c r="D27" s="238">
        <v>114</v>
      </c>
      <c r="E27" s="239">
        <v>0</v>
      </c>
      <c r="F27" s="239">
        <v>2</v>
      </c>
      <c r="G27" s="683">
        <v>6</v>
      </c>
      <c r="H27" s="849" t="s">
        <v>355</v>
      </c>
      <c r="I27" s="742">
        <v>30</v>
      </c>
      <c r="K27" s="262"/>
      <c r="L27" s="262"/>
      <c r="M27" s="262"/>
      <c r="N27" s="262"/>
      <c r="O27" s="262"/>
    </row>
    <row r="28" spans="1:15" ht="14.5" x14ac:dyDescent="0.35">
      <c r="A28" s="192" t="s">
        <v>22</v>
      </c>
      <c r="B28" s="193">
        <v>45713</v>
      </c>
      <c r="C28" s="233">
        <v>2501</v>
      </c>
      <c r="D28" s="234">
        <v>138</v>
      </c>
      <c r="E28" s="235">
        <v>0</v>
      </c>
      <c r="F28" s="235">
        <v>1</v>
      </c>
      <c r="G28" s="681">
        <v>1</v>
      </c>
      <c r="H28" s="847" t="s">
        <v>356</v>
      </c>
      <c r="I28" s="741">
        <v>11</v>
      </c>
      <c r="K28" s="262"/>
      <c r="L28" s="262"/>
      <c r="M28" s="262"/>
      <c r="N28" s="262"/>
      <c r="O28" s="262"/>
    </row>
    <row r="29" spans="1:15" ht="14.5" x14ac:dyDescent="0.35">
      <c r="A29" s="192" t="s">
        <v>24</v>
      </c>
      <c r="B29" s="193">
        <v>45714</v>
      </c>
      <c r="C29" s="209">
        <v>1555</v>
      </c>
      <c r="D29" s="242">
        <v>29</v>
      </c>
      <c r="E29" s="243">
        <v>0</v>
      </c>
      <c r="F29" s="244">
        <v>1</v>
      </c>
      <c r="G29" s="684">
        <v>1</v>
      </c>
      <c r="H29" s="850" t="s">
        <v>357</v>
      </c>
      <c r="I29" s="743">
        <v>13</v>
      </c>
      <c r="K29" s="262"/>
      <c r="L29" s="262"/>
      <c r="M29" s="262"/>
      <c r="N29" s="262"/>
      <c r="O29" s="262"/>
    </row>
    <row r="30" spans="1:15" ht="14.5" x14ac:dyDescent="0.35">
      <c r="A30" s="192" t="s">
        <v>10</v>
      </c>
      <c r="B30" s="193">
        <v>45715</v>
      </c>
      <c r="C30" s="214">
        <v>2852</v>
      </c>
      <c r="D30" s="245">
        <v>29</v>
      </c>
      <c r="E30" s="246">
        <v>0</v>
      </c>
      <c r="F30" s="247">
        <v>0</v>
      </c>
      <c r="G30" s="246">
        <v>4</v>
      </c>
      <c r="H30" s="848" t="s">
        <v>358</v>
      </c>
      <c r="I30" s="736">
        <v>19</v>
      </c>
      <c r="K30" s="262"/>
      <c r="L30" s="262"/>
      <c r="M30" s="508"/>
      <c r="N30" s="262"/>
      <c r="O30" s="262"/>
    </row>
    <row r="31" spans="1:15" ht="14.5" x14ac:dyDescent="0.35">
      <c r="A31" s="192" t="s">
        <v>13</v>
      </c>
      <c r="B31" s="193">
        <v>45716</v>
      </c>
      <c r="C31" s="214">
        <v>2218</v>
      </c>
      <c r="D31" s="249">
        <v>59</v>
      </c>
      <c r="E31" s="246">
        <v>0</v>
      </c>
      <c r="F31" s="247">
        <v>1</v>
      </c>
      <c r="G31" s="682">
        <v>2</v>
      </c>
      <c r="H31" s="848" t="s">
        <v>359</v>
      </c>
      <c r="I31" s="736">
        <v>14</v>
      </c>
      <c r="K31" s="262"/>
      <c r="L31" s="262"/>
      <c r="M31" s="508"/>
      <c r="N31" s="262"/>
      <c r="O31" s="262"/>
    </row>
    <row r="32" spans="1:15" ht="14.5" x14ac:dyDescent="0.35">
      <c r="A32" s="192"/>
      <c r="B32" s="193"/>
      <c r="C32" s="214"/>
      <c r="D32" s="249"/>
      <c r="E32" s="246"/>
      <c r="F32" s="247"/>
      <c r="G32" s="682"/>
      <c r="H32" s="848"/>
      <c r="I32" s="736"/>
      <c r="K32" s="262"/>
      <c r="L32" s="262"/>
      <c r="M32" s="508"/>
      <c r="N32" s="262"/>
      <c r="O32" s="262"/>
    </row>
    <row r="33" spans="1:15" ht="14.5" x14ac:dyDescent="0.35">
      <c r="A33" s="192"/>
      <c r="B33" s="193"/>
      <c r="C33" s="252"/>
      <c r="D33" s="253"/>
      <c r="E33" s="246"/>
      <c r="F33" s="254"/>
      <c r="G33" s="682"/>
      <c r="H33" s="848"/>
      <c r="I33" s="736"/>
      <c r="K33" s="262"/>
      <c r="L33" s="262"/>
      <c r="M33" s="262"/>
      <c r="N33" s="262"/>
      <c r="O33" s="262"/>
    </row>
    <row r="34" spans="1:15" thickBot="1" x14ac:dyDescent="0.4">
      <c r="A34" s="192"/>
      <c r="B34" s="193"/>
      <c r="C34" s="252"/>
      <c r="D34" s="252"/>
      <c r="E34" s="246"/>
      <c r="F34" s="246"/>
      <c r="G34" s="685"/>
      <c r="H34" s="848"/>
      <c r="I34" s="736"/>
      <c r="K34" s="262"/>
      <c r="L34" s="262"/>
      <c r="M34" s="508"/>
      <c r="N34" s="262"/>
      <c r="O34" s="262"/>
    </row>
    <row r="35" spans="1:15" thickBot="1" x14ac:dyDescent="0.4">
      <c r="A35" s="257"/>
      <c r="B35" s="651"/>
      <c r="C35" s="653">
        <f t="shared" ref="C35:F35" si="0">SUM(C4:C34)</f>
        <v>57833</v>
      </c>
      <c r="D35" s="654">
        <f t="shared" si="0"/>
        <v>1445</v>
      </c>
      <c r="E35" s="655">
        <f t="shared" si="0"/>
        <v>0</v>
      </c>
      <c r="F35" s="884">
        <f t="shared" si="0"/>
        <v>13</v>
      </c>
      <c r="G35" s="885">
        <f>SUM(G4:G34)</f>
        <v>55</v>
      </c>
      <c r="H35" s="886"/>
      <c r="I35" s="887"/>
      <c r="K35" s="262"/>
      <c r="L35" s="262"/>
      <c r="M35" s="262"/>
      <c r="N35" s="262"/>
      <c r="O35" s="262"/>
    </row>
    <row r="36" spans="1:15" ht="14.5" x14ac:dyDescent="0.35">
      <c r="A36" s="262"/>
      <c r="B36" s="474"/>
      <c r="C36" s="509"/>
      <c r="D36" s="510"/>
      <c r="E36" s="475"/>
      <c r="F36" s="652"/>
      <c r="G36" s="262"/>
      <c r="H36" s="262"/>
      <c r="I36" s="262"/>
      <c r="J36" s="262"/>
      <c r="K36" s="262"/>
      <c r="L36" s="262"/>
      <c r="M36" s="262"/>
    </row>
    <row r="37" spans="1:15" ht="14.5" x14ac:dyDescent="0.35">
      <c r="A37" s="262"/>
      <c r="B37" s="474"/>
      <c r="C37" s="508"/>
      <c r="D37" s="508"/>
      <c r="E37" s="475"/>
      <c r="F37" s="511"/>
      <c r="G37" s="262"/>
      <c r="H37" s="262"/>
      <c r="I37" s="262"/>
      <c r="J37" s="262"/>
      <c r="K37" s="262"/>
      <c r="L37" s="262"/>
      <c r="M37" s="262"/>
    </row>
    <row r="38" spans="1:15" ht="14.5" x14ac:dyDescent="0.35">
      <c r="A38" s="262"/>
      <c r="B38" s="474"/>
      <c r="C38" s="475"/>
      <c r="D38" s="508"/>
      <c r="E38" s="475"/>
      <c r="F38" s="511"/>
      <c r="G38" s="262"/>
      <c r="H38" s="262"/>
      <c r="I38" s="262"/>
      <c r="J38" s="262"/>
      <c r="K38" s="262"/>
      <c r="L38" s="262"/>
      <c r="M38" s="262"/>
    </row>
    <row r="39" spans="1:15" ht="14.5" x14ac:dyDescent="0.35">
      <c r="A39" s="262"/>
      <c r="B39" s="474"/>
      <c r="C39" s="508"/>
      <c r="D39" s="508"/>
      <c r="E39" s="508"/>
      <c r="F39" s="262"/>
      <c r="G39" s="262"/>
      <c r="H39" s="262"/>
      <c r="I39" s="262"/>
      <c r="J39" s="262"/>
      <c r="K39" s="262"/>
      <c r="L39" s="262"/>
      <c r="M39" s="262"/>
    </row>
    <row r="40" spans="1:15" ht="19" thickBot="1" x14ac:dyDescent="0.5">
      <c r="A40" s="262"/>
      <c r="B40" s="474"/>
      <c r="C40" s="508"/>
      <c r="D40" s="512"/>
      <c r="E40" s="508"/>
      <c r="F40" s="262"/>
      <c r="G40" s="262"/>
      <c r="H40" s="262"/>
      <c r="I40" s="262"/>
      <c r="J40" s="262"/>
      <c r="K40" s="262"/>
      <c r="L40" s="262"/>
      <c r="M40" s="262"/>
    </row>
    <row r="41" spans="1:15" ht="15.65" customHeight="1" thickBot="1" x14ac:dyDescent="0.45">
      <c r="A41" s="348"/>
      <c r="B41" s="931" t="s">
        <v>37</v>
      </c>
      <c r="C41" s="928" t="s">
        <v>0</v>
      </c>
      <c r="D41" s="298" t="s">
        <v>2</v>
      </c>
      <c r="E41" s="184" t="s">
        <v>3</v>
      </c>
      <c r="F41" s="772" t="s">
        <v>4</v>
      </c>
      <c r="G41" s="774" t="s">
        <v>143</v>
      </c>
      <c r="H41" s="186" t="s">
        <v>6</v>
      </c>
      <c r="I41" s="773" t="s">
        <v>7</v>
      </c>
      <c r="M41" s="349"/>
      <c r="N41" s="349"/>
    </row>
    <row r="42" spans="1:15" ht="29.25" customHeight="1" x14ac:dyDescent="0.4">
      <c r="A42" s="497"/>
      <c r="B42" s="932"/>
      <c r="C42" s="929"/>
      <c r="D42" s="299" t="s">
        <v>0</v>
      </c>
      <c r="E42" s="188" t="s">
        <v>0</v>
      </c>
      <c r="F42" s="772" t="s">
        <v>0</v>
      </c>
      <c r="G42" s="664" t="s">
        <v>0</v>
      </c>
      <c r="H42" s="665" t="s">
        <v>8</v>
      </c>
      <c r="I42" s="666" t="s">
        <v>9</v>
      </c>
      <c r="M42" s="262"/>
      <c r="N42" s="262"/>
    </row>
    <row r="43" spans="1:15" ht="14.5" x14ac:dyDescent="0.35">
      <c r="A43" s="192" t="s">
        <v>16</v>
      </c>
      <c r="B43" s="193">
        <v>45689</v>
      </c>
      <c r="C43" s="194">
        <v>2571</v>
      </c>
      <c r="D43" s="195">
        <v>25</v>
      </c>
      <c r="E43" s="286">
        <v>0</v>
      </c>
      <c r="F43" s="855">
        <v>0</v>
      </c>
      <c r="G43" s="727">
        <v>1</v>
      </c>
      <c r="H43" s="869" t="s">
        <v>360</v>
      </c>
      <c r="I43" s="744">
        <v>14</v>
      </c>
      <c r="K43" s="923" t="s">
        <v>12</v>
      </c>
      <c r="L43" s="923"/>
      <c r="M43" s="262"/>
      <c r="N43" s="262"/>
    </row>
    <row r="44" spans="1:15" ht="14.5" x14ac:dyDescent="0.35">
      <c r="A44" s="192" t="s">
        <v>18</v>
      </c>
      <c r="B44" s="193">
        <v>45690</v>
      </c>
      <c r="C44" s="212"/>
      <c r="D44" s="213"/>
      <c r="E44" s="203"/>
      <c r="F44" s="676"/>
      <c r="G44" s="690"/>
      <c r="H44" s="736"/>
      <c r="I44" s="745"/>
      <c r="K44" s="513" t="s">
        <v>15</v>
      </c>
      <c r="L44" s="409">
        <v>45000</v>
      </c>
      <c r="M44" s="262"/>
      <c r="N44" s="262"/>
    </row>
    <row r="45" spans="1:15" ht="14.5" x14ac:dyDescent="0.35">
      <c r="A45" s="192" t="s">
        <v>20</v>
      </c>
      <c r="B45" s="193">
        <v>45691</v>
      </c>
      <c r="C45" s="205">
        <v>846</v>
      </c>
      <c r="D45" s="206">
        <v>30</v>
      </c>
      <c r="E45" s="207">
        <v>1</v>
      </c>
      <c r="F45" s="675">
        <v>0</v>
      </c>
      <c r="G45" s="507">
        <v>3</v>
      </c>
      <c r="H45" s="735" t="s">
        <v>275</v>
      </c>
      <c r="I45" s="746">
        <v>10</v>
      </c>
      <c r="K45" s="504" t="s">
        <v>17</v>
      </c>
      <c r="L45" s="411">
        <v>2000</v>
      </c>
      <c r="M45" s="262"/>
      <c r="N45" s="262"/>
    </row>
    <row r="46" spans="1:15" ht="14.5" x14ac:dyDescent="0.35">
      <c r="A46" s="192" t="s">
        <v>22</v>
      </c>
      <c r="B46" s="193">
        <v>45692</v>
      </c>
      <c r="C46" s="209">
        <v>1985</v>
      </c>
      <c r="D46" s="210">
        <v>40</v>
      </c>
      <c r="E46" s="211">
        <v>2</v>
      </c>
      <c r="F46" s="684">
        <v>0</v>
      </c>
      <c r="G46" s="279">
        <v>5</v>
      </c>
      <c r="H46" s="743" t="s">
        <v>361</v>
      </c>
      <c r="I46" s="747">
        <v>16</v>
      </c>
      <c r="K46" s="515" t="s">
        <v>19</v>
      </c>
      <c r="L46" s="413">
        <v>15</v>
      </c>
      <c r="M46" s="262"/>
      <c r="N46" s="262"/>
    </row>
    <row r="47" spans="1:15" ht="14.5" x14ac:dyDescent="0.35">
      <c r="A47" s="192" t="s">
        <v>24</v>
      </c>
      <c r="B47" s="193">
        <v>45693</v>
      </c>
      <c r="C47" s="205">
        <v>1185</v>
      </c>
      <c r="D47" s="206">
        <v>0</v>
      </c>
      <c r="E47" s="207">
        <v>0</v>
      </c>
      <c r="F47" s="675">
        <v>0</v>
      </c>
      <c r="G47" s="507">
        <v>0</v>
      </c>
      <c r="H47" s="735" t="s">
        <v>362</v>
      </c>
      <c r="I47" s="746">
        <v>8</v>
      </c>
      <c r="K47" s="838"/>
      <c r="L47" s="839"/>
      <c r="M47" s="262"/>
      <c r="N47" s="262"/>
    </row>
    <row r="48" spans="1:15" ht="14.5" x14ac:dyDescent="0.35">
      <c r="A48" s="192" t="s">
        <v>10</v>
      </c>
      <c r="B48" s="193">
        <v>45694</v>
      </c>
      <c r="C48" s="212">
        <v>1570</v>
      </c>
      <c r="D48" s="213">
        <v>0</v>
      </c>
      <c r="E48" s="203">
        <v>0</v>
      </c>
      <c r="F48" s="676">
        <v>0</v>
      </c>
      <c r="G48" s="690">
        <v>0</v>
      </c>
      <c r="H48" s="734" t="s">
        <v>363</v>
      </c>
      <c r="I48" s="745">
        <v>11</v>
      </c>
      <c r="K48" s="262"/>
      <c r="L48" s="262"/>
      <c r="M48" s="262"/>
      <c r="N48" s="262"/>
    </row>
    <row r="49" spans="1:14" ht="14.5" x14ac:dyDescent="0.35">
      <c r="A49" s="192" t="s">
        <v>13</v>
      </c>
      <c r="B49" s="193">
        <v>45695</v>
      </c>
      <c r="C49" s="214">
        <v>2061</v>
      </c>
      <c r="D49" s="195">
        <v>25</v>
      </c>
      <c r="E49" s="215">
        <v>0</v>
      </c>
      <c r="F49" s="682">
        <v>0</v>
      </c>
      <c r="G49" s="247">
        <v>1</v>
      </c>
      <c r="H49" s="736" t="s">
        <v>364</v>
      </c>
      <c r="I49" s="748">
        <v>14</v>
      </c>
      <c r="K49" s="262"/>
      <c r="L49" s="262"/>
      <c r="M49" s="262"/>
      <c r="N49" s="262"/>
    </row>
    <row r="50" spans="1:14" ht="14.5" x14ac:dyDescent="0.35">
      <c r="A50" s="192" t="s">
        <v>16</v>
      </c>
      <c r="B50" s="193">
        <v>45696</v>
      </c>
      <c r="C50" s="217">
        <v>2530</v>
      </c>
      <c r="D50" s="218">
        <v>300</v>
      </c>
      <c r="E50" s="219">
        <v>0</v>
      </c>
      <c r="F50" s="677">
        <v>0</v>
      </c>
      <c r="G50" s="854">
        <v>5</v>
      </c>
      <c r="H50" s="737" t="s">
        <v>365</v>
      </c>
      <c r="I50" s="749">
        <v>15</v>
      </c>
      <c r="K50" s="262"/>
      <c r="L50" s="262"/>
      <c r="M50" s="262"/>
      <c r="N50" s="262"/>
    </row>
    <row r="51" spans="1:14" ht="14.5" x14ac:dyDescent="0.35">
      <c r="A51" s="192" t="s">
        <v>18</v>
      </c>
      <c r="B51" s="193">
        <v>45697</v>
      </c>
      <c r="C51" s="221"/>
      <c r="D51" s="222"/>
      <c r="E51" s="223"/>
      <c r="F51" s="223"/>
      <c r="G51" s="692"/>
      <c r="H51" s="738"/>
      <c r="I51" s="750"/>
      <c r="K51" s="262"/>
      <c r="L51" s="262"/>
      <c r="M51" s="262"/>
      <c r="N51" s="262"/>
    </row>
    <row r="52" spans="1:14" ht="14.5" x14ac:dyDescent="0.35">
      <c r="A52" s="192" t="s">
        <v>20</v>
      </c>
      <c r="B52" s="193">
        <v>45698</v>
      </c>
      <c r="C52" s="225">
        <v>1775</v>
      </c>
      <c r="D52" s="226">
        <v>55</v>
      </c>
      <c r="E52" s="227">
        <v>1</v>
      </c>
      <c r="F52" s="227">
        <v>0</v>
      </c>
      <c r="G52" s="693">
        <v>5</v>
      </c>
      <c r="H52" s="739" t="s">
        <v>366</v>
      </c>
      <c r="I52" s="751">
        <v>17</v>
      </c>
      <c r="K52" s="262"/>
      <c r="L52" s="262"/>
      <c r="M52" s="262"/>
      <c r="N52" s="262"/>
    </row>
    <row r="53" spans="1:14" ht="14.5" x14ac:dyDescent="0.35">
      <c r="A53" s="192" t="s">
        <v>22</v>
      </c>
      <c r="B53" s="193">
        <v>45699</v>
      </c>
      <c r="C53" s="229">
        <v>2104</v>
      </c>
      <c r="D53" s="230">
        <v>190</v>
      </c>
      <c r="E53" s="231">
        <v>0</v>
      </c>
      <c r="F53" s="231">
        <v>0</v>
      </c>
      <c r="G53" s="694">
        <v>4</v>
      </c>
      <c r="H53" s="740" t="s">
        <v>367</v>
      </c>
      <c r="I53" s="752">
        <v>14</v>
      </c>
      <c r="K53" s="262"/>
      <c r="L53" s="262"/>
      <c r="M53" s="262"/>
      <c r="N53" s="262"/>
    </row>
    <row r="54" spans="1:14" ht="14.5" x14ac:dyDescent="0.35">
      <c r="A54" s="192" t="s">
        <v>24</v>
      </c>
      <c r="B54" s="193">
        <v>45700</v>
      </c>
      <c r="C54" s="225">
        <v>1636</v>
      </c>
      <c r="D54" s="226">
        <v>0</v>
      </c>
      <c r="E54" s="227">
        <v>0</v>
      </c>
      <c r="F54" s="227">
        <v>0</v>
      </c>
      <c r="G54" s="693">
        <v>4</v>
      </c>
      <c r="H54" s="739" t="s">
        <v>368</v>
      </c>
      <c r="I54" s="751">
        <v>19</v>
      </c>
      <c r="K54" s="262"/>
      <c r="L54" s="262"/>
      <c r="M54" s="262"/>
      <c r="N54" s="262"/>
    </row>
    <row r="55" spans="1:14" ht="14.5" x14ac:dyDescent="0.35">
      <c r="A55" s="192" t="s">
        <v>10</v>
      </c>
      <c r="B55" s="193">
        <v>45701</v>
      </c>
      <c r="C55" s="233">
        <v>301</v>
      </c>
      <c r="D55" s="234">
        <v>0</v>
      </c>
      <c r="E55" s="235">
        <v>0</v>
      </c>
      <c r="F55" s="235">
        <v>0</v>
      </c>
      <c r="G55" s="481">
        <v>0</v>
      </c>
      <c r="H55" s="741" t="s">
        <v>368</v>
      </c>
      <c r="I55" s="753">
        <v>3</v>
      </c>
      <c r="K55" s="262"/>
      <c r="L55" s="262"/>
      <c r="M55" s="262"/>
      <c r="N55" s="262"/>
    </row>
    <row r="56" spans="1:14" ht="14.5" x14ac:dyDescent="0.35">
      <c r="A56" s="192" t="s">
        <v>13</v>
      </c>
      <c r="B56" s="193">
        <v>45702</v>
      </c>
      <c r="C56" s="225"/>
      <c r="D56" s="226"/>
      <c r="E56" s="227"/>
      <c r="F56" s="227"/>
      <c r="G56" s="693"/>
      <c r="H56" s="739"/>
      <c r="I56" s="751"/>
      <c r="J56" t="s">
        <v>347</v>
      </c>
      <c r="K56" s="262"/>
      <c r="L56" s="262"/>
      <c r="M56" s="262"/>
      <c r="N56" s="262"/>
    </row>
    <row r="57" spans="1:14" ht="14.5" x14ac:dyDescent="0.35">
      <c r="A57" s="192" t="s">
        <v>16</v>
      </c>
      <c r="B57" s="193">
        <v>45703</v>
      </c>
      <c r="C57" s="233">
        <v>1198</v>
      </c>
      <c r="D57" s="195">
        <v>155</v>
      </c>
      <c r="E57" s="215">
        <v>0</v>
      </c>
      <c r="F57" s="215">
        <v>1</v>
      </c>
      <c r="G57" s="615">
        <v>2</v>
      </c>
      <c r="H57" s="736" t="s">
        <v>369</v>
      </c>
      <c r="I57" s="748">
        <v>13</v>
      </c>
      <c r="K57" s="262"/>
      <c r="L57" s="262"/>
      <c r="M57" s="262"/>
      <c r="N57" s="262"/>
    </row>
    <row r="58" spans="1:14" ht="14.5" x14ac:dyDescent="0.35">
      <c r="A58" s="192" t="s">
        <v>18</v>
      </c>
      <c r="B58" s="193">
        <v>45704</v>
      </c>
      <c r="C58" s="209"/>
      <c r="D58" s="213"/>
      <c r="E58" s="203"/>
      <c r="F58" s="203"/>
      <c r="G58" s="611"/>
      <c r="H58" s="734"/>
      <c r="I58" s="745"/>
      <c r="K58" s="262"/>
      <c r="L58" s="262"/>
      <c r="M58" s="262"/>
      <c r="N58" s="262"/>
    </row>
    <row r="59" spans="1:14" ht="14.5" x14ac:dyDescent="0.35">
      <c r="A59" s="192" t="s">
        <v>20</v>
      </c>
      <c r="B59" s="193">
        <v>45705</v>
      </c>
      <c r="C59" s="233">
        <v>2983</v>
      </c>
      <c r="D59" s="234">
        <v>25</v>
      </c>
      <c r="E59" s="215">
        <v>0</v>
      </c>
      <c r="F59" s="215">
        <v>0</v>
      </c>
      <c r="G59" s="615">
        <v>0</v>
      </c>
      <c r="H59" s="736" t="s">
        <v>370</v>
      </c>
      <c r="I59" s="748">
        <v>15</v>
      </c>
      <c r="K59" s="262"/>
      <c r="L59" s="262"/>
      <c r="M59" s="262"/>
      <c r="N59" s="262"/>
    </row>
    <row r="60" spans="1:14" ht="14.5" x14ac:dyDescent="0.35">
      <c r="A60" s="192" t="s">
        <v>22</v>
      </c>
      <c r="B60" s="193">
        <v>45706</v>
      </c>
      <c r="C60" s="237">
        <v>1974</v>
      </c>
      <c r="D60" s="238">
        <v>25</v>
      </c>
      <c r="E60" s="239">
        <v>0</v>
      </c>
      <c r="F60" s="239">
        <v>0</v>
      </c>
      <c r="G60" s="695">
        <v>2</v>
      </c>
      <c r="H60" s="742" t="s">
        <v>371</v>
      </c>
      <c r="I60" s="754">
        <v>15</v>
      </c>
      <c r="K60" s="262"/>
      <c r="L60" s="262"/>
      <c r="M60" s="262"/>
      <c r="N60" s="262"/>
    </row>
    <row r="61" spans="1:14" ht="14.5" x14ac:dyDescent="0.35">
      <c r="A61" s="192" t="s">
        <v>24</v>
      </c>
      <c r="B61" s="193">
        <v>45707</v>
      </c>
      <c r="C61" s="214">
        <v>2443</v>
      </c>
      <c r="D61" s="195">
        <v>50</v>
      </c>
      <c r="E61" s="215">
        <v>0</v>
      </c>
      <c r="F61" s="215">
        <v>0</v>
      </c>
      <c r="G61" s="615">
        <v>1</v>
      </c>
      <c r="H61" s="736" t="s">
        <v>372</v>
      </c>
      <c r="I61" s="748">
        <v>13</v>
      </c>
      <c r="K61" s="262"/>
      <c r="L61" s="262"/>
      <c r="M61" s="262"/>
      <c r="N61" s="262"/>
    </row>
    <row r="62" spans="1:14" ht="14.5" x14ac:dyDescent="0.35">
      <c r="A62" s="192" t="s">
        <v>10</v>
      </c>
      <c r="B62" s="193">
        <v>45708</v>
      </c>
      <c r="C62" s="237">
        <v>1714</v>
      </c>
      <c r="D62" s="238">
        <v>0</v>
      </c>
      <c r="E62" s="239">
        <v>0</v>
      </c>
      <c r="F62" s="239">
        <v>0</v>
      </c>
      <c r="G62" s="695">
        <v>0</v>
      </c>
      <c r="H62" s="742" t="s">
        <v>373</v>
      </c>
      <c r="I62" s="754">
        <v>12</v>
      </c>
      <c r="K62" s="262"/>
      <c r="L62" s="262"/>
      <c r="M62" s="262"/>
      <c r="N62" s="262"/>
    </row>
    <row r="63" spans="1:14" ht="14.5" x14ac:dyDescent="0.35">
      <c r="A63" s="192" t="s">
        <v>13</v>
      </c>
      <c r="B63" s="193">
        <v>45709</v>
      </c>
      <c r="C63" s="205">
        <v>1147</v>
      </c>
      <c r="D63" s="206">
        <v>0</v>
      </c>
      <c r="E63" s="207">
        <v>0</v>
      </c>
      <c r="F63" s="207">
        <v>0</v>
      </c>
      <c r="G63" s="612">
        <v>0</v>
      </c>
      <c r="H63" s="735" t="s">
        <v>374</v>
      </c>
      <c r="I63" s="746">
        <v>15</v>
      </c>
      <c r="K63" s="262"/>
      <c r="L63" s="262"/>
      <c r="M63" s="262"/>
      <c r="N63" s="262"/>
    </row>
    <row r="64" spans="1:14" ht="14.5" x14ac:dyDescent="0.35">
      <c r="A64" s="192" t="s">
        <v>16</v>
      </c>
      <c r="B64" s="193">
        <v>45710</v>
      </c>
      <c r="C64" s="209">
        <v>4022</v>
      </c>
      <c r="D64" s="210">
        <v>310</v>
      </c>
      <c r="E64" s="211">
        <v>1</v>
      </c>
      <c r="F64" s="211">
        <v>0</v>
      </c>
      <c r="G64" s="287">
        <v>8</v>
      </c>
      <c r="H64" s="743" t="s">
        <v>375</v>
      </c>
      <c r="I64" s="747">
        <v>26</v>
      </c>
      <c r="K64" s="262"/>
      <c r="L64" s="262"/>
      <c r="M64" s="262"/>
      <c r="N64" s="262"/>
    </row>
    <row r="65" spans="1:14" ht="14.5" x14ac:dyDescent="0.35">
      <c r="A65" s="192" t="s">
        <v>18</v>
      </c>
      <c r="B65" s="193">
        <v>45711</v>
      </c>
      <c r="C65" s="233"/>
      <c r="D65" s="234"/>
      <c r="E65" s="235"/>
      <c r="F65" s="235"/>
      <c r="G65" s="481"/>
      <c r="H65" s="741"/>
      <c r="I65" s="753"/>
      <c r="K65" s="262"/>
      <c r="L65" s="262"/>
      <c r="M65" s="262"/>
      <c r="N65" s="262"/>
    </row>
    <row r="66" spans="1:14" ht="14.5" x14ac:dyDescent="0.35">
      <c r="A66" s="192" t="s">
        <v>20</v>
      </c>
      <c r="B66" s="193">
        <v>45712</v>
      </c>
      <c r="C66" s="237">
        <v>1820</v>
      </c>
      <c r="D66" s="238">
        <v>120</v>
      </c>
      <c r="E66" s="239">
        <v>0</v>
      </c>
      <c r="F66" s="239">
        <v>0</v>
      </c>
      <c r="G66" s="695">
        <v>3</v>
      </c>
      <c r="H66" s="742" t="s">
        <v>376</v>
      </c>
      <c r="I66" s="754">
        <v>10</v>
      </c>
      <c r="K66" s="262"/>
      <c r="L66" s="262"/>
      <c r="M66" s="262"/>
      <c r="N66" s="262"/>
    </row>
    <row r="67" spans="1:14" ht="14.5" x14ac:dyDescent="0.35">
      <c r="A67" s="192" t="s">
        <v>22</v>
      </c>
      <c r="B67" s="193">
        <v>45713</v>
      </c>
      <c r="C67" s="233">
        <v>1303</v>
      </c>
      <c r="D67" s="234">
        <v>80</v>
      </c>
      <c r="E67" s="235">
        <v>0</v>
      </c>
      <c r="F67" s="235">
        <v>1</v>
      </c>
      <c r="G67" s="481">
        <v>3</v>
      </c>
      <c r="H67" s="741" t="s">
        <v>377</v>
      </c>
      <c r="I67" s="753">
        <v>7</v>
      </c>
      <c r="K67" s="262"/>
      <c r="L67" s="262"/>
      <c r="M67" s="262"/>
      <c r="N67" s="262"/>
    </row>
    <row r="68" spans="1:14" ht="14.5" x14ac:dyDescent="0.35">
      <c r="A68" s="192" t="s">
        <v>24</v>
      </c>
      <c r="B68" s="193">
        <v>45714</v>
      </c>
      <c r="C68" s="209">
        <v>3461</v>
      </c>
      <c r="D68" s="210">
        <v>0</v>
      </c>
      <c r="E68" s="211">
        <v>0</v>
      </c>
      <c r="F68" s="211">
        <v>0</v>
      </c>
      <c r="G68" s="287">
        <v>2</v>
      </c>
      <c r="H68" s="743" t="s">
        <v>360</v>
      </c>
      <c r="I68" s="747">
        <v>18</v>
      </c>
      <c r="K68" s="262"/>
      <c r="L68" s="262"/>
      <c r="M68" s="262"/>
      <c r="N68" s="262"/>
    </row>
    <row r="69" spans="1:14" ht="14.5" x14ac:dyDescent="0.35">
      <c r="A69" s="192" t="s">
        <v>10</v>
      </c>
      <c r="B69" s="193">
        <v>45715</v>
      </c>
      <c r="C69" s="214">
        <v>1968</v>
      </c>
      <c r="D69" s="195">
        <v>40</v>
      </c>
      <c r="E69" s="215">
        <v>0</v>
      </c>
      <c r="F69" s="215">
        <v>0</v>
      </c>
      <c r="G69" s="615">
        <v>0</v>
      </c>
      <c r="H69" s="736" t="s">
        <v>378</v>
      </c>
      <c r="I69" s="748">
        <v>7</v>
      </c>
      <c r="K69" s="262"/>
      <c r="L69" s="262"/>
      <c r="M69" s="262"/>
      <c r="N69" s="262"/>
    </row>
    <row r="70" spans="1:14" ht="14.5" x14ac:dyDescent="0.35">
      <c r="A70" s="192" t="s">
        <v>13</v>
      </c>
      <c r="B70" s="193">
        <v>45716</v>
      </c>
      <c r="C70" s="212">
        <v>1428</v>
      </c>
      <c r="D70" s="213">
        <v>50</v>
      </c>
      <c r="E70" s="203">
        <v>0</v>
      </c>
      <c r="F70" s="203">
        <v>0</v>
      </c>
      <c r="G70" s="611">
        <v>0</v>
      </c>
      <c r="H70" s="734" t="s">
        <v>379</v>
      </c>
      <c r="I70" s="745">
        <v>10</v>
      </c>
      <c r="K70" s="262"/>
      <c r="L70" s="262"/>
      <c r="M70" s="262"/>
      <c r="N70" s="262"/>
    </row>
    <row r="71" spans="1:14" ht="14.5" x14ac:dyDescent="0.35">
      <c r="A71" s="192"/>
      <c r="B71" s="193"/>
      <c r="C71" s="233"/>
      <c r="D71" s="263"/>
      <c r="E71" s="215"/>
      <c r="F71" s="215"/>
      <c r="G71" s="615"/>
      <c r="H71" s="736"/>
      <c r="I71" s="748"/>
      <c r="K71" s="262"/>
      <c r="L71" s="262"/>
      <c r="M71" s="262"/>
      <c r="N71" s="262"/>
    </row>
    <row r="72" spans="1:14" ht="14.5" x14ac:dyDescent="0.35">
      <c r="A72" s="192"/>
      <c r="B72" s="193"/>
      <c r="C72" s="212"/>
      <c r="D72" s="213"/>
      <c r="E72" s="203"/>
      <c r="F72" s="203"/>
      <c r="G72" s="611"/>
      <c r="H72" s="734"/>
      <c r="I72" s="745"/>
      <c r="K72" s="262"/>
      <c r="L72" s="262"/>
      <c r="M72" s="262"/>
      <c r="N72" s="262"/>
    </row>
    <row r="73" spans="1:14" thickBot="1" x14ac:dyDescent="0.4">
      <c r="A73" s="192"/>
      <c r="B73" s="193"/>
      <c r="C73" s="264"/>
      <c r="D73" s="265"/>
      <c r="E73" s="266"/>
      <c r="F73" s="266"/>
      <c r="G73" s="696"/>
      <c r="H73" s="870"/>
      <c r="I73" s="755"/>
      <c r="K73" s="262"/>
      <c r="L73" s="262"/>
      <c r="M73" s="262"/>
      <c r="N73" s="262"/>
    </row>
    <row r="74" spans="1:14" thickBot="1" x14ac:dyDescent="0.4">
      <c r="A74" s="257"/>
      <c r="B74" s="268"/>
      <c r="C74" s="258">
        <f t="shared" ref="C74:F74" si="1">SUM(C43:C73)</f>
        <v>44025</v>
      </c>
      <c r="D74" s="259">
        <f t="shared" si="1"/>
        <v>1520</v>
      </c>
      <c r="E74" s="260">
        <f t="shared" si="1"/>
        <v>5</v>
      </c>
      <c r="F74" s="884">
        <f t="shared" si="1"/>
        <v>2</v>
      </c>
      <c r="G74" s="885">
        <f>SUM(G43:G73)</f>
        <v>49</v>
      </c>
      <c r="H74" s="886"/>
      <c r="I74" s="887"/>
      <c r="K74" s="262"/>
      <c r="L74" s="262"/>
      <c r="M74" s="262"/>
      <c r="N74" s="262"/>
    </row>
    <row r="75" spans="1:14" ht="14.5" x14ac:dyDescent="0.35">
      <c r="A75" s="262"/>
      <c r="B75" s="474"/>
      <c r="C75" s="508"/>
      <c r="D75" s="262"/>
      <c r="E75" s="475"/>
      <c r="F75" s="511"/>
      <c r="G75" s="262"/>
      <c r="H75" s="262"/>
      <c r="I75" s="262"/>
      <c r="J75" s="262"/>
      <c r="K75" s="262"/>
      <c r="L75" s="262"/>
      <c r="M75" s="262"/>
    </row>
    <row r="76" spans="1:14" ht="16.5" thickBot="1" x14ac:dyDescent="0.45">
      <c r="A76" s="262"/>
      <c r="B76" s="474"/>
      <c r="C76" s="508"/>
      <c r="D76" s="262"/>
      <c r="E76" s="508"/>
      <c r="F76" s="262"/>
      <c r="G76" s="262"/>
      <c r="H76" s="262"/>
      <c r="I76" s="262"/>
      <c r="J76" s="262"/>
      <c r="K76" s="349"/>
      <c r="L76" s="349"/>
      <c r="M76" s="262"/>
    </row>
    <row r="77" spans="1:14" ht="15.65" customHeight="1" thickBot="1" x14ac:dyDescent="0.45">
      <c r="A77" s="348"/>
      <c r="B77" s="926" t="s">
        <v>53</v>
      </c>
      <c r="C77" s="928" t="s">
        <v>0</v>
      </c>
      <c r="D77" s="298" t="s">
        <v>2</v>
      </c>
      <c r="E77" s="184" t="s">
        <v>3</v>
      </c>
      <c r="F77" s="772" t="s">
        <v>4</v>
      </c>
      <c r="G77" s="774" t="s">
        <v>143</v>
      </c>
      <c r="H77" s="186" t="s">
        <v>6</v>
      </c>
      <c r="I77" s="773" t="s">
        <v>7</v>
      </c>
      <c r="M77" s="349"/>
      <c r="N77" s="349"/>
    </row>
    <row r="78" spans="1:14" ht="33" customHeight="1" x14ac:dyDescent="0.4">
      <c r="A78" s="497"/>
      <c r="B78" s="927"/>
      <c r="C78" s="929"/>
      <c r="D78" s="299" t="s">
        <v>0</v>
      </c>
      <c r="E78" s="188" t="s">
        <v>0</v>
      </c>
      <c r="F78" s="772" t="s">
        <v>0</v>
      </c>
      <c r="G78" s="664" t="s">
        <v>0</v>
      </c>
      <c r="H78" s="665" t="s">
        <v>8</v>
      </c>
      <c r="I78" s="666" t="s">
        <v>9</v>
      </c>
      <c r="K78" s="923" t="s">
        <v>12</v>
      </c>
      <c r="L78" s="923"/>
      <c r="M78" s="262"/>
      <c r="N78" s="262"/>
    </row>
    <row r="79" spans="1:14" ht="14.5" x14ac:dyDescent="0.35">
      <c r="A79" s="192" t="s">
        <v>16</v>
      </c>
      <c r="B79" s="193">
        <v>45689</v>
      </c>
      <c r="C79" s="194">
        <v>880</v>
      </c>
      <c r="D79" s="195">
        <v>29</v>
      </c>
      <c r="E79" s="286">
        <v>0</v>
      </c>
      <c r="F79" s="855">
        <v>0</v>
      </c>
      <c r="G79" s="728">
        <v>1</v>
      </c>
      <c r="H79" s="871" t="s">
        <v>380</v>
      </c>
      <c r="I79" s="744">
        <v>12</v>
      </c>
      <c r="K79" s="513" t="s">
        <v>15</v>
      </c>
      <c r="L79" s="409">
        <v>55000</v>
      </c>
      <c r="M79" s="262"/>
      <c r="N79" s="262"/>
    </row>
    <row r="80" spans="1:14" ht="14.5" x14ac:dyDescent="0.35">
      <c r="A80" s="192" t="s">
        <v>18</v>
      </c>
      <c r="B80" s="193">
        <v>45690</v>
      </c>
      <c r="C80" s="212"/>
      <c r="D80" s="213"/>
      <c r="E80" s="203"/>
      <c r="F80" s="203"/>
      <c r="G80" s="611"/>
      <c r="H80" s="736"/>
      <c r="I80" s="745"/>
      <c r="K80" s="504" t="s">
        <v>17</v>
      </c>
      <c r="L80" s="411">
        <v>2000</v>
      </c>
      <c r="M80" s="262"/>
      <c r="N80" s="262"/>
    </row>
    <row r="81" spans="1:14" ht="14.5" x14ac:dyDescent="0.35">
      <c r="A81" s="192" t="s">
        <v>20</v>
      </c>
      <c r="B81" s="193">
        <v>45691</v>
      </c>
      <c r="C81" s="205">
        <v>1230</v>
      </c>
      <c r="D81" s="206">
        <v>58</v>
      </c>
      <c r="E81" s="207">
        <v>1</v>
      </c>
      <c r="F81" s="207">
        <v>0</v>
      </c>
      <c r="G81" s="675">
        <v>0</v>
      </c>
      <c r="H81" s="872" t="s">
        <v>381</v>
      </c>
      <c r="I81" s="746">
        <v>9</v>
      </c>
      <c r="K81" s="515" t="s">
        <v>19</v>
      </c>
      <c r="L81" s="413">
        <v>15</v>
      </c>
      <c r="M81" s="262"/>
      <c r="N81" s="262"/>
    </row>
    <row r="82" spans="1:14" ht="14.5" x14ac:dyDescent="0.35">
      <c r="A82" s="192" t="s">
        <v>22</v>
      </c>
      <c r="B82" s="193">
        <v>45692</v>
      </c>
      <c r="C82" s="209">
        <v>1861</v>
      </c>
      <c r="D82" s="210">
        <v>58</v>
      </c>
      <c r="E82" s="211">
        <v>0</v>
      </c>
      <c r="F82" s="211">
        <v>0</v>
      </c>
      <c r="G82" s="684">
        <v>0</v>
      </c>
      <c r="H82" s="873" t="s">
        <v>381</v>
      </c>
      <c r="I82" s="747">
        <v>9</v>
      </c>
      <c r="K82" s="838"/>
      <c r="L82" s="839"/>
      <c r="M82" s="262"/>
      <c r="N82" s="262"/>
    </row>
    <row r="83" spans="1:14" ht="14.5" x14ac:dyDescent="0.35">
      <c r="A83" s="192" t="s">
        <v>24</v>
      </c>
      <c r="B83" s="193">
        <v>45693</v>
      </c>
      <c r="C83" s="205">
        <v>539</v>
      </c>
      <c r="D83" s="206">
        <v>29</v>
      </c>
      <c r="E83" s="207">
        <v>0</v>
      </c>
      <c r="F83" s="207">
        <v>0</v>
      </c>
      <c r="G83" s="675">
        <v>0</v>
      </c>
      <c r="H83" s="872" t="s">
        <v>382</v>
      </c>
      <c r="I83" s="746">
        <v>7</v>
      </c>
      <c r="K83" s="262"/>
      <c r="L83" s="262"/>
      <c r="M83" s="262"/>
      <c r="N83" s="262"/>
    </row>
    <row r="84" spans="1:14" ht="14.5" x14ac:dyDescent="0.35">
      <c r="A84" s="192" t="s">
        <v>10</v>
      </c>
      <c r="B84" s="193">
        <v>45694</v>
      </c>
      <c r="C84" s="212">
        <v>500</v>
      </c>
      <c r="D84" s="213">
        <v>116</v>
      </c>
      <c r="E84" s="203">
        <v>0</v>
      </c>
      <c r="F84" s="203">
        <v>0</v>
      </c>
      <c r="G84" s="676">
        <v>0</v>
      </c>
      <c r="H84" s="874" t="s">
        <v>382</v>
      </c>
      <c r="I84" s="745">
        <v>6</v>
      </c>
      <c r="K84" s="262"/>
      <c r="L84" s="262"/>
      <c r="M84" s="262"/>
      <c r="N84" s="262"/>
    </row>
    <row r="85" spans="1:14" ht="14.5" x14ac:dyDescent="0.35">
      <c r="A85" s="192" t="s">
        <v>13</v>
      </c>
      <c r="B85" s="193">
        <v>45695</v>
      </c>
      <c r="C85" s="214">
        <v>2067</v>
      </c>
      <c r="D85" s="195">
        <v>58</v>
      </c>
      <c r="E85" s="215">
        <v>1</v>
      </c>
      <c r="F85" s="215">
        <v>0</v>
      </c>
      <c r="G85" s="682">
        <v>2</v>
      </c>
      <c r="H85" s="875" t="s">
        <v>383</v>
      </c>
      <c r="I85" s="748">
        <v>11</v>
      </c>
      <c r="K85" s="262"/>
      <c r="L85" s="262"/>
      <c r="M85" s="262"/>
      <c r="N85" s="262"/>
    </row>
    <row r="86" spans="1:14" ht="14.5" x14ac:dyDescent="0.35">
      <c r="A86" s="192" t="s">
        <v>16</v>
      </c>
      <c r="B86" s="193">
        <v>45696</v>
      </c>
      <c r="C86" s="217">
        <v>989</v>
      </c>
      <c r="D86" s="218">
        <v>0</v>
      </c>
      <c r="E86" s="219">
        <v>0</v>
      </c>
      <c r="F86" s="219">
        <v>1</v>
      </c>
      <c r="G86" s="677">
        <v>2</v>
      </c>
      <c r="H86" s="876" t="s">
        <v>384</v>
      </c>
      <c r="I86" s="749">
        <v>9</v>
      </c>
      <c r="K86" s="262"/>
      <c r="L86" s="262"/>
      <c r="M86" s="262"/>
      <c r="N86" s="262"/>
    </row>
    <row r="87" spans="1:14" ht="14.5" x14ac:dyDescent="0.35">
      <c r="A87" s="192" t="s">
        <v>18</v>
      </c>
      <c r="B87" s="193">
        <v>45697</v>
      </c>
      <c r="C87" s="221"/>
      <c r="D87" s="222"/>
      <c r="E87" s="223"/>
      <c r="F87" s="223"/>
      <c r="G87" s="678"/>
      <c r="H87" s="877"/>
      <c r="I87" s="750"/>
      <c r="K87" s="262"/>
      <c r="L87" s="262"/>
      <c r="M87" s="262"/>
      <c r="N87" s="262"/>
    </row>
    <row r="88" spans="1:14" ht="14.5" x14ac:dyDescent="0.35">
      <c r="A88" s="192" t="s">
        <v>20</v>
      </c>
      <c r="B88" s="193">
        <v>45698</v>
      </c>
      <c r="C88" s="225">
        <v>2713</v>
      </c>
      <c r="D88" s="226">
        <v>54</v>
      </c>
      <c r="E88" s="227">
        <v>0</v>
      </c>
      <c r="F88" s="227">
        <v>0</v>
      </c>
      <c r="G88" s="679">
        <v>1</v>
      </c>
      <c r="H88" s="878" t="s">
        <v>384</v>
      </c>
      <c r="I88" s="751">
        <v>17</v>
      </c>
      <c r="K88" s="262"/>
      <c r="L88" s="262"/>
      <c r="M88" s="262"/>
      <c r="N88" s="262"/>
    </row>
    <row r="89" spans="1:14" ht="14.5" x14ac:dyDescent="0.35">
      <c r="A89" s="192" t="s">
        <v>22</v>
      </c>
      <c r="B89" s="193">
        <v>45699</v>
      </c>
      <c r="C89" s="229">
        <v>1277</v>
      </c>
      <c r="D89" s="230">
        <v>0</v>
      </c>
      <c r="E89" s="231">
        <v>0</v>
      </c>
      <c r="F89" s="231">
        <v>0</v>
      </c>
      <c r="G89" s="680">
        <v>2</v>
      </c>
      <c r="H89" s="879" t="s">
        <v>385</v>
      </c>
      <c r="I89" s="752">
        <v>18</v>
      </c>
      <c r="K89" s="262"/>
      <c r="L89" s="262"/>
      <c r="M89" s="262"/>
      <c r="N89" s="262"/>
    </row>
    <row r="90" spans="1:14" ht="14.5" x14ac:dyDescent="0.35">
      <c r="A90" s="192" t="s">
        <v>24</v>
      </c>
      <c r="B90" s="193">
        <v>45700</v>
      </c>
      <c r="C90" s="225">
        <v>688</v>
      </c>
      <c r="D90" s="226">
        <v>0</v>
      </c>
      <c r="E90" s="227">
        <v>0</v>
      </c>
      <c r="F90" s="227">
        <v>0</v>
      </c>
      <c r="G90" s="679">
        <v>0</v>
      </c>
      <c r="H90" s="878" t="s">
        <v>386</v>
      </c>
      <c r="I90" s="751">
        <v>9</v>
      </c>
      <c r="K90" s="262"/>
      <c r="L90" s="262"/>
      <c r="M90" s="262"/>
      <c r="N90" s="262"/>
    </row>
    <row r="91" spans="1:14" ht="14.5" x14ac:dyDescent="0.35">
      <c r="A91" s="192" t="s">
        <v>10</v>
      </c>
      <c r="B91" s="193">
        <v>45701</v>
      </c>
      <c r="C91" s="233">
        <v>576</v>
      </c>
      <c r="D91" s="234">
        <v>0</v>
      </c>
      <c r="E91" s="235">
        <v>0</v>
      </c>
      <c r="F91" s="235">
        <v>0</v>
      </c>
      <c r="G91" s="681">
        <v>1</v>
      </c>
      <c r="H91" s="880" t="s">
        <v>387</v>
      </c>
      <c r="I91" s="753">
        <v>3</v>
      </c>
      <c r="K91" s="262"/>
      <c r="L91" s="262"/>
      <c r="M91" s="262"/>
      <c r="N91" s="262"/>
    </row>
    <row r="92" spans="1:14" ht="14.5" x14ac:dyDescent="0.35">
      <c r="A92" s="192" t="s">
        <v>13</v>
      </c>
      <c r="B92" s="193">
        <v>45702</v>
      </c>
      <c r="C92" s="225"/>
      <c r="D92" s="226"/>
      <c r="E92" s="227"/>
      <c r="F92" s="227"/>
      <c r="G92" s="679"/>
      <c r="H92" s="878"/>
      <c r="I92" s="751"/>
      <c r="J92" t="s">
        <v>347</v>
      </c>
      <c r="K92" s="262"/>
      <c r="L92" s="262"/>
      <c r="M92" s="262"/>
      <c r="N92" s="262"/>
    </row>
    <row r="93" spans="1:14" ht="14.5" x14ac:dyDescent="0.35">
      <c r="A93" s="192" t="s">
        <v>16</v>
      </c>
      <c r="B93" s="193">
        <v>45703</v>
      </c>
      <c r="C93" s="233">
        <v>1989</v>
      </c>
      <c r="D93" s="195">
        <v>29</v>
      </c>
      <c r="E93" s="215">
        <v>0</v>
      </c>
      <c r="F93" s="215">
        <v>2</v>
      </c>
      <c r="G93" s="682">
        <v>3</v>
      </c>
      <c r="H93" s="875" t="s">
        <v>388</v>
      </c>
      <c r="I93" s="748">
        <v>27</v>
      </c>
      <c r="K93" s="262"/>
      <c r="L93" s="262"/>
      <c r="M93" s="262"/>
      <c r="N93" s="262"/>
    </row>
    <row r="94" spans="1:14" ht="14.5" x14ac:dyDescent="0.35">
      <c r="A94" s="192" t="s">
        <v>18</v>
      </c>
      <c r="B94" s="193">
        <v>45704</v>
      </c>
      <c r="C94" s="209"/>
      <c r="D94" s="213"/>
      <c r="E94" s="203"/>
      <c r="F94" s="203"/>
      <c r="G94" s="676"/>
      <c r="H94" s="874"/>
      <c r="I94" s="745"/>
      <c r="K94" s="262"/>
      <c r="L94" s="262"/>
      <c r="M94" s="262"/>
      <c r="N94" s="262"/>
    </row>
    <row r="95" spans="1:14" ht="14.5" x14ac:dyDescent="0.35">
      <c r="A95" s="192" t="s">
        <v>20</v>
      </c>
      <c r="B95" s="193">
        <v>45705</v>
      </c>
      <c r="C95" s="233">
        <v>3773</v>
      </c>
      <c r="D95" s="234">
        <v>174</v>
      </c>
      <c r="E95" s="215">
        <v>0</v>
      </c>
      <c r="F95" s="215">
        <v>0</v>
      </c>
      <c r="G95" s="682">
        <v>5</v>
      </c>
      <c r="H95" s="875" t="s">
        <v>389</v>
      </c>
      <c r="I95" s="748">
        <v>20</v>
      </c>
      <c r="K95" s="262"/>
      <c r="L95" s="262"/>
      <c r="M95" s="262"/>
      <c r="N95" s="262"/>
    </row>
    <row r="96" spans="1:14" ht="14.5" x14ac:dyDescent="0.35">
      <c r="A96" s="192" t="s">
        <v>22</v>
      </c>
      <c r="B96" s="193">
        <v>45706</v>
      </c>
      <c r="C96" s="237">
        <v>1191</v>
      </c>
      <c r="D96" s="270">
        <v>0</v>
      </c>
      <c r="E96" s="239">
        <v>0</v>
      </c>
      <c r="F96" s="239">
        <v>0</v>
      </c>
      <c r="G96" s="683"/>
      <c r="H96" s="881" t="s">
        <v>390</v>
      </c>
      <c r="I96" s="754">
        <v>12</v>
      </c>
      <c r="K96" s="262"/>
      <c r="L96" s="262"/>
      <c r="M96" s="262"/>
      <c r="N96" s="262"/>
    </row>
    <row r="97" spans="1:14" ht="14.5" x14ac:dyDescent="0.35">
      <c r="A97" s="192" t="s">
        <v>24</v>
      </c>
      <c r="B97" s="193">
        <v>45707</v>
      </c>
      <c r="C97" s="214">
        <v>2270</v>
      </c>
      <c r="D97" s="195">
        <v>58</v>
      </c>
      <c r="E97" s="215">
        <v>0</v>
      </c>
      <c r="F97" s="215">
        <v>0</v>
      </c>
      <c r="G97" s="682">
        <v>2</v>
      </c>
      <c r="H97" s="875" t="s">
        <v>391</v>
      </c>
      <c r="I97" s="748">
        <v>9</v>
      </c>
      <c r="K97" s="262"/>
      <c r="L97" s="262"/>
      <c r="M97" s="262"/>
      <c r="N97" s="262"/>
    </row>
    <row r="98" spans="1:14" ht="14.5" x14ac:dyDescent="0.35">
      <c r="A98" s="192" t="s">
        <v>10</v>
      </c>
      <c r="B98" s="193">
        <v>45708</v>
      </c>
      <c r="C98" s="237">
        <v>2542</v>
      </c>
      <c r="D98" s="238">
        <v>83</v>
      </c>
      <c r="E98" s="239">
        <v>0</v>
      </c>
      <c r="F98" s="239">
        <v>0</v>
      </c>
      <c r="G98" s="683">
        <v>2</v>
      </c>
      <c r="H98" s="881" t="s">
        <v>392</v>
      </c>
      <c r="I98" s="754">
        <v>18</v>
      </c>
      <c r="K98" s="262"/>
      <c r="L98" s="262"/>
      <c r="M98" s="262"/>
      <c r="N98" s="262"/>
    </row>
    <row r="99" spans="1:14" ht="14.5" x14ac:dyDescent="0.35">
      <c r="A99" s="192" t="s">
        <v>13</v>
      </c>
      <c r="B99" s="193">
        <v>45709</v>
      </c>
      <c r="C99" s="205">
        <v>3320</v>
      </c>
      <c r="D99" s="206">
        <v>58</v>
      </c>
      <c r="E99" s="207">
        <v>0</v>
      </c>
      <c r="F99" s="207">
        <v>0</v>
      </c>
      <c r="G99" s="675">
        <v>4</v>
      </c>
      <c r="H99" s="872" t="s">
        <v>393</v>
      </c>
      <c r="I99" s="746">
        <v>17</v>
      </c>
      <c r="K99" s="262"/>
      <c r="L99" s="262"/>
      <c r="M99" s="262"/>
      <c r="N99" s="262"/>
    </row>
    <row r="100" spans="1:14" ht="14.5" x14ac:dyDescent="0.35">
      <c r="A100" s="192" t="s">
        <v>16</v>
      </c>
      <c r="B100" s="193">
        <v>45710</v>
      </c>
      <c r="C100" s="209">
        <v>3067</v>
      </c>
      <c r="D100" s="210">
        <v>58</v>
      </c>
      <c r="E100" s="211">
        <v>1</v>
      </c>
      <c r="F100" s="211">
        <v>0</v>
      </c>
      <c r="G100" s="684">
        <v>5</v>
      </c>
      <c r="H100" s="873" t="s">
        <v>394</v>
      </c>
      <c r="I100" s="747">
        <v>22</v>
      </c>
      <c r="K100" s="262"/>
      <c r="L100" s="262"/>
      <c r="M100" s="262"/>
      <c r="N100" s="262"/>
    </row>
    <row r="101" spans="1:14" ht="14.5" x14ac:dyDescent="0.35">
      <c r="A101" s="192" t="s">
        <v>18</v>
      </c>
      <c r="B101" s="193">
        <v>45711</v>
      </c>
      <c r="C101" s="233"/>
      <c r="D101" s="234"/>
      <c r="E101" s="235"/>
      <c r="F101" s="235"/>
      <c r="G101" s="681"/>
      <c r="H101" s="880"/>
      <c r="I101" s="753"/>
      <c r="K101" s="262"/>
      <c r="L101" s="262"/>
      <c r="M101" s="262"/>
      <c r="N101" s="262"/>
    </row>
    <row r="102" spans="1:14" ht="14.5" x14ac:dyDescent="0.35">
      <c r="A102" s="192" t="s">
        <v>20</v>
      </c>
      <c r="B102" s="193">
        <v>45712</v>
      </c>
      <c r="C102" s="237">
        <v>2042</v>
      </c>
      <c r="D102" s="238">
        <v>29</v>
      </c>
      <c r="E102" s="239">
        <v>0</v>
      </c>
      <c r="F102" s="239">
        <v>0</v>
      </c>
      <c r="G102" s="683">
        <v>7</v>
      </c>
      <c r="H102" s="881" t="s">
        <v>395</v>
      </c>
      <c r="I102" s="754">
        <v>24</v>
      </c>
      <c r="K102" s="262"/>
      <c r="L102" s="262"/>
      <c r="M102" s="262"/>
      <c r="N102" s="262"/>
    </row>
    <row r="103" spans="1:14" ht="14.5" x14ac:dyDescent="0.35">
      <c r="A103" s="192" t="s">
        <v>22</v>
      </c>
      <c r="B103" s="193">
        <v>45713</v>
      </c>
      <c r="C103" s="233">
        <v>1313</v>
      </c>
      <c r="D103" s="234">
        <v>0</v>
      </c>
      <c r="E103" s="235">
        <v>1</v>
      </c>
      <c r="F103" s="235">
        <v>0</v>
      </c>
      <c r="G103" s="681">
        <v>1</v>
      </c>
      <c r="H103" s="880" t="s">
        <v>395</v>
      </c>
      <c r="I103" s="753">
        <v>8</v>
      </c>
      <c r="K103" s="262"/>
      <c r="L103" s="262"/>
      <c r="M103" s="508"/>
      <c r="N103" s="262"/>
    </row>
    <row r="104" spans="1:14" ht="14.5" x14ac:dyDescent="0.35">
      <c r="A104" s="192" t="s">
        <v>24</v>
      </c>
      <c r="B104" s="193">
        <v>45714</v>
      </c>
      <c r="C104" s="209">
        <v>1205</v>
      </c>
      <c r="D104" s="210">
        <v>0</v>
      </c>
      <c r="E104" s="211">
        <v>0</v>
      </c>
      <c r="F104" s="211">
        <v>0</v>
      </c>
      <c r="G104" s="684">
        <v>0</v>
      </c>
      <c r="H104" s="873" t="s">
        <v>396</v>
      </c>
      <c r="I104" s="747">
        <v>10</v>
      </c>
      <c r="M104" s="508"/>
      <c r="N104" s="262"/>
    </row>
    <row r="105" spans="1:14" ht="14.5" x14ac:dyDescent="0.35">
      <c r="A105" s="192" t="s">
        <v>10</v>
      </c>
      <c r="B105" s="193">
        <v>45715</v>
      </c>
      <c r="C105" s="214">
        <v>1177</v>
      </c>
      <c r="D105" s="195">
        <v>29</v>
      </c>
      <c r="E105" s="215">
        <v>0</v>
      </c>
      <c r="F105" s="215">
        <v>0</v>
      </c>
      <c r="G105" s="697">
        <v>1</v>
      </c>
      <c r="H105" s="880" t="s">
        <v>397</v>
      </c>
      <c r="I105" s="756">
        <v>11</v>
      </c>
      <c r="M105" s="262"/>
      <c r="N105" s="262"/>
    </row>
    <row r="106" spans="1:14" ht="14.5" x14ac:dyDescent="0.35">
      <c r="A106" s="192" t="s">
        <v>13</v>
      </c>
      <c r="B106" s="193">
        <v>45716</v>
      </c>
      <c r="C106" s="212">
        <v>2061</v>
      </c>
      <c r="D106" s="213">
        <v>29</v>
      </c>
      <c r="E106" s="203">
        <v>0</v>
      </c>
      <c r="F106" s="203">
        <v>1</v>
      </c>
      <c r="G106" s="676">
        <v>2</v>
      </c>
      <c r="H106" s="874" t="s">
        <v>398</v>
      </c>
      <c r="I106" s="745">
        <v>22</v>
      </c>
      <c r="M106" s="262"/>
      <c r="N106" s="262"/>
    </row>
    <row r="107" spans="1:14" ht="14.5" x14ac:dyDescent="0.35">
      <c r="A107" s="192"/>
      <c r="B107" s="193"/>
      <c r="C107" s="233"/>
      <c r="D107" s="195"/>
      <c r="E107" s="215"/>
      <c r="F107" s="247"/>
      <c r="G107" s="682"/>
      <c r="H107" s="875"/>
      <c r="I107" s="748"/>
      <c r="M107" s="262"/>
      <c r="N107" s="262"/>
    </row>
    <row r="108" spans="1:14" ht="14.5" x14ac:dyDescent="0.35">
      <c r="A108" s="192"/>
      <c r="B108" s="193"/>
      <c r="C108" s="212"/>
      <c r="D108" s="213"/>
      <c r="E108" s="203"/>
      <c r="F108" s="203"/>
      <c r="G108" s="676"/>
      <c r="H108" s="874"/>
      <c r="I108" s="745"/>
      <c r="K108" s="262"/>
      <c r="L108" s="262"/>
      <c r="M108" s="262"/>
      <c r="N108" s="262"/>
    </row>
    <row r="109" spans="1:14" thickBot="1" x14ac:dyDescent="0.4">
      <c r="A109" s="192"/>
      <c r="B109" s="193"/>
      <c r="C109" s="264"/>
      <c r="D109" s="265"/>
      <c r="E109" s="266"/>
      <c r="F109" s="266"/>
      <c r="G109" s="687"/>
      <c r="H109" s="882"/>
      <c r="I109" s="755"/>
      <c r="K109" s="262"/>
      <c r="L109" s="262"/>
      <c r="M109" s="262"/>
      <c r="N109" s="262"/>
    </row>
    <row r="110" spans="1:14" thickBot="1" x14ac:dyDescent="0.4">
      <c r="A110" s="257"/>
      <c r="B110" s="268"/>
      <c r="C110" s="258">
        <f t="shared" ref="C110:F110" si="2">SUM(C79:C109)</f>
        <v>39270</v>
      </c>
      <c r="D110" s="259">
        <f t="shared" si="2"/>
        <v>949</v>
      </c>
      <c r="E110" s="260">
        <f t="shared" si="2"/>
        <v>4</v>
      </c>
      <c r="F110" s="884">
        <f t="shared" si="2"/>
        <v>4</v>
      </c>
      <c r="G110" s="885">
        <f>SUM(G79:G109)</f>
        <v>41</v>
      </c>
      <c r="H110" s="886"/>
      <c r="I110" s="887"/>
      <c r="K110" s="262"/>
      <c r="L110" s="262"/>
      <c r="M110" s="262"/>
      <c r="N110" s="262"/>
    </row>
    <row r="111" spans="1:14" ht="16" x14ac:dyDescent="0.4">
      <c r="A111" s="262"/>
      <c r="B111" s="474"/>
      <c r="C111" s="508"/>
      <c r="D111" s="475"/>
      <c r="E111" s="511"/>
      <c r="F111" s="262"/>
      <c r="G111" s="262"/>
      <c r="H111" s="262"/>
      <c r="I111" s="262"/>
      <c r="J111" s="262"/>
      <c r="K111" s="349"/>
      <c r="L111" s="349"/>
      <c r="M111" s="262"/>
    </row>
    <row r="112" spans="1:14" ht="14.5" x14ac:dyDescent="0.35">
      <c r="A112" s="262"/>
      <c r="B112" s="474"/>
      <c r="C112" s="508"/>
      <c r="D112" s="475"/>
      <c r="E112" s="511"/>
      <c r="F112" s="262"/>
      <c r="G112" s="262"/>
      <c r="H112" s="262"/>
      <c r="I112" s="262"/>
      <c r="J112" s="262"/>
      <c r="M112" s="262"/>
    </row>
    <row r="113" spans="1:13" ht="16" x14ac:dyDescent="0.4">
      <c r="A113" s="262"/>
      <c r="B113" s="474"/>
      <c r="C113" s="508"/>
      <c r="D113" s="475"/>
      <c r="E113" s="511"/>
      <c r="F113" s="262"/>
      <c r="G113" s="262"/>
      <c r="H113" s="262"/>
      <c r="I113" s="349"/>
      <c r="J113" s="349"/>
      <c r="M113" s="262"/>
    </row>
    <row r="114" spans="1:13" ht="25" customHeight="1" thickBot="1" x14ac:dyDescent="0.4">
      <c r="A114" s="262"/>
      <c r="B114" s="474"/>
      <c r="C114" s="508"/>
      <c r="D114" s="475"/>
      <c r="E114" s="511"/>
      <c r="F114" s="262"/>
      <c r="G114" s="262"/>
      <c r="H114" s="262"/>
      <c r="I114" s="262"/>
      <c r="J114" s="262"/>
      <c r="M114" s="262"/>
    </row>
    <row r="115" spans="1:13" ht="16" customHeight="1" thickBot="1" x14ac:dyDescent="0.45">
      <c r="A115" s="2"/>
      <c r="B115" s="926" t="s">
        <v>70</v>
      </c>
      <c r="C115" s="928" t="s">
        <v>0</v>
      </c>
      <c r="D115" s="298" t="s">
        <v>2</v>
      </c>
      <c r="E115" s="771" t="s">
        <v>3</v>
      </c>
      <c r="F115" s="772" t="s">
        <v>4</v>
      </c>
      <c r="G115" s="774" t="s">
        <v>143</v>
      </c>
      <c r="H115" s="186" t="s">
        <v>6</v>
      </c>
      <c r="I115" s="773" t="s">
        <v>7</v>
      </c>
      <c r="M115" s="262"/>
    </row>
    <row r="116" spans="1:13" ht="29.15" customHeight="1" x14ac:dyDescent="0.4">
      <c r="A116" s="8"/>
      <c r="B116" s="927"/>
      <c r="C116" s="929"/>
      <c r="D116" s="299" t="s">
        <v>0</v>
      </c>
      <c r="E116" s="498" t="s">
        <v>0</v>
      </c>
      <c r="F116" s="772" t="s">
        <v>0</v>
      </c>
      <c r="G116" s="664" t="s">
        <v>0</v>
      </c>
      <c r="H116" s="710" t="s">
        <v>8</v>
      </c>
      <c r="I116" s="711" t="s">
        <v>9</v>
      </c>
      <c r="K116" s="517"/>
      <c r="L116" s="473"/>
      <c r="M116" s="262"/>
    </row>
    <row r="117" spans="1:13" ht="14.5" x14ac:dyDescent="0.35">
      <c r="A117" s="192" t="s">
        <v>16</v>
      </c>
      <c r="B117" s="193">
        <v>45689</v>
      </c>
      <c r="C117" s="194">
        <v>825</v>
      </c>
      <c r="D117" s="195">
        <v>0</v>
      </c>
      <c r="E117" s="196">
        <v>0</v>
      </c>
      <c r="F117" s="855">
        <v>0</v>
      </c>
      <c r="G117" s="727">
        <v>1</v>
      </c>
      <c r="H117" s="724" t="s">
        <v>399</v>
      </c>
      <c r="I117" s="744">
        <v>7</v>
      </c>
      <c r="K117" s="923" t="s">
        <v>12</v>
      </c>
      <c r="L117" s="923"/>
      <c r="M117" s="262"/>
    </row>
    <row r="118" spans="1:13" ht="14.5" x14ac:dyDescent="0.35">
      <c r="A118" s="192" t="s">
        <v>18</v>
      </c>
      <c r="B118" s="193">
        <v>45690</v>
      </c>
      <c r="C118" s="212"/>
      <c r="D118" s="213"/>
      <c r="E118" s="203"/>
      <c r="F118" s="203"/>
      <c r="G118" s="611"/>
      <c r="H118" s="246"/>
      <c r="I118" s="745"/>
      <c r="K118" s="513" t="s">
        <v>15</v>
      </c>
      <c r="L118" s="409">
        <v>35000</v>
      </c>
      <c r="M118" s="262"/>
    </row>
    <row r="119" spans="1:13" ht="14.5" x14ac:dyDescent="0.35">
      <c r="A119" s="192" t="s">
        <v>20</v>
      </c>
      <c r="B119" s="193">
        <v>45691</v>
      </c>
      <c r="C119" s="205">
        <v>1804</v>
      </c>
      <c r="D119" s="206">
        <v>60</v>
      </c>
      <c r="E119" s="207">
        <v>0</v>
      </c>
      <c r="F119" s="207">
        <v>0</v>
      </c>
      <c r="G119" s="612">
        <v>0</v>
      </c>
      <c r="H119" s="619" t="s">
        <v>400</v>
      </c>
      <c r="I119" s="746">
        <v>13</v>
      </c>
      <c r="K119" s="504" t="s">
        <v>17</v>
      </c>
      <c r="L119" s="411">
        <v>1000</v>
      </c>
      <c r="M119" s="262"/>
    </row>
    <row r="120" spans="1:13" ht="14.5" x14ac:dyDescent="0.35">
      <c r="A120" s="192" t="s">
        <v>22</v>
      </c>
      <c r="B120" s="193">
        <v>45692</v>
      </c>
      <c r="C120" s="209">
        <v>1378</v>
      </c>
      <c r="D120" s="210">
        <v>30</v>
      </c>
      <c r="E120" s="211">
        <v>1</v>
      </c>
      <c r="F120" s="211">
        <v>0</v>
      </c>
      <c r="G120" s="287">
        <v>0</v>
      </c>
      <c r="H120" s="650" t="s">
        <v>401</v>
      </c>
      <c r="I120" s="747">
        <v>4</v>
      </c>
      <c r="K120" s="515" t="s">
        <v>19</v>
      </c>
      <c r="L120" s="413">
        <v>15</v>
      </c>
      <c r="M120" s="262"/>
    </row>
    <row r="121" spans="1:13" ht="14.5" x14ac:dyDescent="0.35">
      <c r="A121" s="192" t="s">
        <v>24</v>
      </c>
      <c r="B121" s="193">
        <v>45693</v>
      </c>
      <c r="C121" s="205">
        <v>1351</v>
      </c>
      <c r="D121" s="206">
        <v>0</v>
      </c>
      <c r="E121" s="207">
        <v>0</v>
      </c>
      <c r="F121" s="207">
        <v>0</v>
      </c>
      <c r="G121" s="612">
        <v>1</v>
      </c>
      <c r="H121" s="642" t="s">
        <v>400</v>
      </c>
      <c r="I121" s="746">
        <v>9</v>
      </c>
      <c r="K121" s="838"/>
      <c r="L121" s="839"/>
      <c r="M121" s="262"/>
    </row>
    <row r="122" spans="1:13" ht="14.5" x14ac:dyDescent="0.35">
      <c r="A122" s="192" t="s">
        <v>10</v>
      </c>
      <c r="B122" s="193">
        <v>45694</v>
      </c>
      <c r="C122" s="212">
        <v>408</v>
      </c>
      <c r="D122" s="213">
        <v>50</v>
      </c>
      <c r="E122" s="203">
        <v>0</v>
      </c>
      <c r="F122" s="203">
        <v>0</v>
      </c>
      <c r="G122" s="611">
        <v>0</v>
      </c>
      <c r="H122" s="641" t="s">
        <v>402</v>
      </c>
      <c r="I122" s="745">
        <v>1</v>
      </c>
      <c r="K122" s="517"/>
      <c r="L122" s="473"/>
      <c r="M122" s="262"/>
    </row>
    <row r="123" spans="1:13" ht="14.5" x14ac:dyDescent="0.35">
      <c r="A123" s="192" t="s">
        <v>13</v>
      </c>
      <c r="B123" s="193">
        <v>45695</v>
      </c>
      <c r="C123" s="214">
        <v>453</v>
      </c>
      <c r="D123" s="195">
        <v>0</v>
      </c>
      <c r="E123" s="215">
        <v>0</v>
      </c>
      <c r="F123" s="215">
        <v>0</v>
      </c>
      <c r="G123" s="615">
        <v>0</v>
      </c>
      <c r="H123" s="643" t="s">
        <v>403</v>
      </c>
      <c r="I123" s="748">
        <v>3</v>
      </c>
      <c r="K123" s="517"/>
      <c r="L123" s="473"/>
      <c r="M123" s="262"/>
    </row>
    <row r="124" spans="1:13" ht="14.5" x14ac:dyDescent="0.35">
      <c r="A124" s="192" t="s">
        <v>16</v>
      </c>
      <c r="B124" s="193">
        <v>45696</v>
      </c>
      <c r="C124" s="217">
        <v>1917</v>
      </c>
      <c r="D124" s="218">
        <v>0</v>
      </c>
      <c r="E124" s="219">
        <v>0</v>
      </c>
      <c r="F124" s="219">
        <v>0</v>
      </c>
      <c r="G124" s="691">
        <v>1</v>
      </c>
      <c r="H124" s="644" t="s">
        <v>404</v>
      </c>
      <c r="I124" s="749">
        <v>14</v>
      </c>
      <c r="K124" s="517"/>
      <c r="L124" s="473"/>
      <c r="M124" s="262"/>
    </row>
    <row r="125" spans="1:13" ht="14.5" x14ac:dyDescent="0.35">
      <c r="A125" s="192" t="s">
        <v>18</v>
      </c>
      <c r="B125" s="193">
        <v>45697</v>
      </c>
      <c r="C125" s="221"/>
      <c r="D125" s="222"/>
      <c r="E125" s="223"/>
      <c r="F125" s="223"/>
      <c r="G125" s="692"/>
      <c r="H125" s="645"/>
      <c r="I125" s="750"/>
      <c r="K125" s="517"/>
      <c r="L125" s="473"/>
      <c r="M125" s="262"/>
    </row>
    <row r="126" spans="1:13" ht="14.5" x14ac:dyDescent="0.35">
      <c r="A126" s="192" t="s">
        <v>20</v>
      </c>
      <c r="B126" s="193">
        <v>45698</v>
      </c>
      <c r="C126" s="225">
        <v>1537</v>
      </c>
      <c r="D126" s="226">
        <v>30</v>
      </c>
      <c r="E126" s="227">
        <v>0</v>
      </c>
      <c r="F126" s="227">
        <v>2</v>
      </c>
      <c r="G126" s="693">
        <v>0</v>
      </c>
      <c r="H126" s="646" t="s">
        <v>402</v>
      </c>
      <c r="I126" s="751">
        <v>16</v>
      </c>
      <c r="K126" s="517"/>
      <c r="L126" s="473"/>
      <c r="M126" s="262"/>
    </row>
    <row r="127" spans="1:13" ht="14.5" x14ac:dyDescent="0.35">
      <c r="A127" s="192" t="s">
        <v>22</v>
      </c>
      <c r="B127" s="193">
        <v>45699</v>
      </c>
      <c r="C127" s="229">
        <v>640</v>
      </c>
      <c r="D127" s="230">
        <v>30</v>
      </c>
      <c r="E127" s="231">
        <v>0</v>
      </c>
      <c r="F127" s="231">
        <v>0</v>
      </c>
      <c r="G127" s="694">
        <v>0</v>
      </c>
      <c r="H127" s="647" t="s">
        <v>405</v>
      </c>
      <c r="I127" s="752">
        <v>2</v>
      </c>
      <c r="K127" s="517"/>
      <c r="L127" s="473"/>
      <c r="M127" s="262"/>
    </row>
    <row r="128" spans="1:13" ht="14.5" x14ac:dyDescent="0.35">
      <c r="A128" s="192" t="s">
        <v>24</v>
      </c>
      <c r="B128" s="193">
        <v>45700</v>
      </c>
      <c r="C128" s="225">
        <v>1192</v>
      </c>
      <c r="D128" s="226">
        <v>25</v>
      </c>
      <c r="E128" s="227">
        <v>0</v>
      </c>
      <c r="F128" s="227">
        <v>0</v>
      </c>
      <c r="G128" s="693">
        <v>0</v>
      </c>
      <c r="H128" s="646" t="s">
        <v>406</v>
      </c>
      <c r="I128" s="751">
        <v>7</v>
      </c>
      <c r="K128" s="262"/>
      <c r="L128" s="262"/>
      <c r="M128" s="262"/>
    </row>
    <row r="129" spans="1:13" ht="14.5" x14ac:dyDescent="0.35">
      <c r="A129" s="192" t="s">
        <v>10</v>
      </c>
      <c r="B129" s="193">
        <v>45701</v>
      </c>
      <c r="C129" s="233">
        <v>0</v>
      </c>
      <c r="D129" s="234">
        <v>25</v>
      </c>
      <c r="E129" s="235">
        <v>0</v>
      </c>
      <c r="F129" s="235">
        <v>0</v>
      </c>
      <c r="G129" s="481">
        <v>0</v>
      </c>
      <c r="H129" s="648" t="s">
        <v>407</v>
      </c>
      <c r="I129" s="753">
        <v>0</v>
      </c>
      <c r="K129" s="262"/>
      <c r="L129" s="262"/>
      <c r="M129" s="262"/>
    </row>
    <row r="130" spans="1:13" ht="14.5" x14ac:dyDescent="0.35">
      <c r="A130" s="192" t="s">
        <v>13</v>
      </c>
      <c r="B130" s="193">
        <v>45702</v>
      </c>
      <c r="C130" s="225"/>
      <c r="D130" s="226"/>
      <c r="E130" s="227"/>
      <c r="F130" s="227"/>
      <c r="G130" s="693"/>
      <c r="H130" s="646"/>
      <c r="I130" s="751"/>
      <c r="J130" t="s">
        <v>347</v>
      </c>
      <c r="K130" s="262"/>
      <c r="L130" s="262"/>
      <c r="M130" s="262"/>
    </row>
    <row r="131" spans="1:13" ht="14.5" x14ac:dyDescent="0.35">
      <c r="A131" s="192" t="s">
        <v>16</v>
      </c>
      <c r="B131" s="193">
        <v>45703</v>
      </c>
      <c r="C131" s="233">
        <v>1195</v>
      </c>
      <c r="D131" s="195">
        <v>25</v>
      </c>
      <c r="E131" s="215">
        <v>0</v>
      </c>
      <c r="F131" s="215">
        <v>0</v>
      </c>
      <c r="G131" s="615">
        <v>3</v>
      </c>
      <c r="H131" s="643" t="s">
        <v>407</v>
      </c>
      <c r="I131" s="748">
        <v>18</v>
      </c>
      <c r="K131" s="262"/>
      <c r="L131" s="262"/>
      <c r="M131" s="262"/>
    </row>
    <row r="132" spans="1:13" ht="14.5" x14ac:dyDescent="0.35">
      <c r="A132" s="192" t="s">
        <v>18</v>
      </c>
      <c r="B132" s="193">
        <v>45704</v>
      </c>
      <c r="C132" s="209"/>
      <c r="D132" s="213"/>
      <c r="E132" s="203"/>
      <c r="F132" s="203"/>
      <c r="G132" s="611"/>
      <c r="H132" s="641"/>
      <c r="I132" s="745"/>
      <c r="K132" s="262"/>
      <c r="L132" s="262"/>
      <c r="M132" s="262"/>
    </row>
    <row r="133" spans="1:13" ht="14.5" x14ac:dyDescent="0.35">
      <c r="A133" s="192" t="s">
        <v>20</v>
      </c>
      <c r="B133" s="193">
        <v>45705</v>
      </c>
      <c r="C133" s="233">
        <v>512</v>
      </c>
      <c r="D133" s="234">
        <v>0</v>
      </c>
      <c r="E133" s="215">
        <v>1</v>
      </c>
      <c r="F133" s="215">
        <v>0</v>
      </c>
      <c r="G133" s="615">
        <v>0</v>
      </c>
      <c r="H133" s="643" t="s">
        <v>408</v>
      </c>
      <c r="I133" s="748">
        <v>5</v>
      </c>
      <c r="K133" s="262"/>
      <c r="L133" s="262"/>
      <c r="M133" s="262"/>
    </row>
    <row r="134" spans="1:13" ht="14.5" x14ac:dyDescent="0.35">
      <c r="A134" s="192" t="s">
        <v>22</v>
      </c>
      <c r="B134" s="193">
        <v>45706</v>
      </c>
      <c r="C134" s="237">
        <v>1819</v>
      </c>
      <c r="D134" s="270">
        <v>0</v>
      </c>
      <c r="E134" s="239">
        <v>0</v>
      </c>
      <c r="F134" s="239">
        <v>0</v>
      </c>
      <c r="G134" s="695">
        <v>0</v>
      </c>
      <c r="H134" s="649" t="s">
        <v>409</v>
      </c>
      <c r="I134" s="754">
        <v>8</v>
      </c>
      <c r="K134" s="262"/>
      <c r="L134" s="262"/>
      <c r="M134" s="262"/>
    </row>
    <row r="135" spans="1:13" ht="14.5" x14ac:dyDescent="0.35">
      <c r="A135" s="192" t="s">
        <v>24</v>
      </c>
      <c r="B135" s="193">
        <v>45707</v>
      </c>
      <c r="C135" s="214">
        <v>1549</v>
      </c>
      <c r="D135" s="195">
        <v>30</v>
      </c>
      <c r="E135" s="215">
        <v>0</v>
      </c>
      <c r="F135" s="215">
        <v>0</v>
      </c>
      <c r="G135" s="615">
        <v>2</v>
      </c>
      <c r="H135" s="643" t="s">
        <v>410</v>
      </c>
      <c r="I135" s="748">
        <v>9</v>
      </c>
      <c r="K135" s="262"/>
      <c r="L135" s="262"/>
      <c r="M135" s="262"/>
    </row>
    <row r="136" spans="1:13" ht="14.5" x14ac:dyDescent="0.35">
      <c r="A136" s="192" t="s">
        <v>10</v>
      </c>
      <c r="B136" s="193">
        <v>45708</v>
      </c>
      <c r="C136" s="237">
        <v>475</v>
      </c>
      <c r="D136" s="238">
        <v>0</v>
      </c>
      <c r="E136" s="239">
        <v>0</v>
      </c>
      <c r="F136" s="239">
        <v>0</v>
      </c>
      <c r="G136" s="695">
        <v>0</v>
      </c>
      <c r="H136" s="649" t="s">
        <v>411</v>
      </c>
      <c r="I136" s="754">
        <v>5</v>
      </c>
      <c r="K136" s="262"/>
      <c r="L136" s="262"/>
      <c r="M136" s="262"/>
    </row>
    <row r="137" spans="1:13" ht="14.5" x14ac:dyDescent="0.35">
      <c r="A137" s="192" t="s">
        <v>13</v>
      </c>
      <c r="B137" s="193">
        <v>45709</v>
      </c>
      <c r="C137" s="205">
        <v>472</v>
      </c>
      <c r="D137" s="206">
        <v>50</v>
      </c>
      <c r="E137" s="207">
        <v>0</v>
      </c>
      <c r="F137" s="207">
        <v>0</v>
      </c>
      <c r="G137" s="612">
        <v>1</v>
      </c>
      <c r="H137" s="642" t="s">
        <v>412</v>
      </c>
      <c r="I137" s="746">
        <v>5</v>
      </c>
      <c r="K137" s="262"/>
      <c r="L137" s="262"/>
      <c r="M137" s="262"/>
    </row>
    <row r="138" spans="1:13" ht="14.5" x14ac:dyDescent="0.35">
      <c r="A138" s="192" t="s">
        <v>16</v>
      </c>
      <c r="B138" s="193">
        <v>45710</v>
      </c>
      <c r="C138" s="209">
        <v>1444</v>
      </c>
      <c r="D138" s="210">
        <v>25</v>
      </c>
      <c r="E138" s="211">
        <v>0</v>
      </c>
      <c r="F138" s="211">
        <v>0</v>
      </c>
      <c r="G138" s="287">
        <v>0</v>
      </c>
      <c r="H138" s="650" t="s">
        <v>412</v>
      </c>
      <c r="I138" s="747">
        <v>10</v>
      </c>
      <c r="K138" s="262"/>
      <c r="L138" s="262"/>
      <c r="M138" s="262"/>
    </row>
    <row r="139" spans="1:13" ht="14.5" x14ac:dyDescent="0.35">
      <c r="A139" s="192" t="s">
        <v>18</v>
      </c>
      <c r="B139" s="193">
        <v>45711</v>
      </c>
      <c r="C139" s="233"/>
      <c r="D139" s="234"/>
      <c r="E139" s="235"/>
      <c r="F139" s="235"/>
      <c r="G139" s="481"/>
      <c r="H139" s="648"/>
      <c r="I139" s="753"/>
      <c r="K139" s="262"/>
      <c r="L139" s="262"/>
      <c r="M139" s="262"/>
    </row>
    <row r="140" spans="1:13" ht="14.5" x14ac:dyDescent="0.35">
      <c r="A140" s="192" t="s">
        <v>20</v>
      </c>
      <c r="B140" s="193">
        <v>45712</v>
      </c>
      <c r="C140" s="237">
        <v>1398</v>
      </c>
      <c r="D140" s="238">
        <v>50</v>
      </c>
      <c r="E140" s="239">
        <v>0</v>
      </c>
      <c r="F140" s="239">
        <v>1</v>
      </c>
      <c r="G140" s="695">
        <v>0</v>
      </c>
      <c r="H140" s="649" t="s">
        <v>410</v>
      </c>
      <c r="I140" s="754">
        <v>19</v>
      </c>
      <c r="K140" s="262"/>
      <c r="L140" s="262"/>
      <c r="M140" s="262"/>
    </row>
    <row r="141" spans="1:13" ht="14.5" x14ac:dyDescent="0.35">
      <c r="A141" s="192" t="s">
        <v>22</v>
      </c>
      <c r="B141" s="193">
        <v>45713</v>
      </c>
      <c r="C141" s="233">
        <v>2807</v>
      </c>
      <c r="D141" s="234">
        <v>84</v>
      </c>
      <c r="E141" s="235">
        <v>0</v>
      </c>
      <c r="F141" s="235">
        <v>1</v>
      </c>
      <c r="G141" s="481">
        <v>0</v>
      </c>
      <c r="H141" s="648" t="s">
        <v>413</v>
      </c>
      <c r="I141" s="753">
        <v>10</v>
      </c>
      <c r="K141" s="262"/>
      <c r="L141" s="262"/>
      <c r="M141" s="262"/>
    </row>
    <row r="142" spans="1:13" ht="14.5" x14ac:dyDescent="0.35">
      <c r="A142" s="192" t="s">
        <v>24</v>
      </c>
      <c r="B142" s="193">
        <v>45714</v>
      </c>
      <c r="C142" s="209">
        <v>1546</v>
      </c>
      <c r="D142" s="210">
        <v>84</v>
      </c>
      <c r="E142" s="211">
        <v>0</v>
      </c>
      <c r="F142" s="211">
        <v>0</v>
      </c>
      <c r="G142" s="287">
        <v>0</v>
      </c>
      <c r="H142" s="650" t="s">
        <v>414</v>
      </c>
      <c r="I142" s="747">
        <v>15</v>
      </c>
      <c r="K142" s="262"/>
      <c r="L142" s="262"/>
      <c r="M142" s="262"/>
    </row>
    <row r="143" spans="1:13" ht="14.5" x14ac:dyDescent="0.35">
      <c r="A143" s="192" t="s">
        <v>10</v>
      </c>
      <c r="B143" s="193">
        <v>45715</v>
      </c>
      <c r="C143" s="214">
        <v>1091</v>
      </c>
      <c r="D143" s="195">
        <v>0</v>
      </c>
      <c r="E143" s="215">
        <v>0</v>
      </c>
      <c r="F143" s="215">
        <v>0</v>
      </c>
      <c r="G143" s="262">
        <v>1</v>
      </c>
      <c r="H143" s="648" t="s">
        <v>415</v>
      </c>
      <c r="I143" s="756">
        <v>6</v>
      </c>
      <c r="K143" s="262"/>
      <c r="L143" s="262"/>
      <c r="M143" s="262"/>
    </row>
    <row r="144" spans="1:13" ht="14.5" x14ac:dyDescent="0.35">
      <c r="A144" s="192" t="s">
        <v>13</v>
      </c>
      <c r="B144" s="193">
        <v>45716</v>
      </c>
      <c r="C144" s="212">
        <v>1412</v>
      </c>
      <c r="D144" s="213">
        <v>0</v>
      </c>
      <c r="E144" s="203">
        <v>0</v>
      </c>
      <c r="F144" s="203">
        <v>0</v>
      </c>
      <c r="G144" s="611">
        <v>0</v>
      </c>
      <c r="H144" s="641" t="s">
        <v>416</v>
      </c>
      <c r="I144" s="745">
        <v>9</v>
      </c>
      <c r="K144" s="262"/>
      <c r="L144" s="262"/>
      <c r="M144" s="262"/>
    </row>
    <row r="145" spans="1:13" ht="14.5" x14ac:dyDescent="0.35">
      <c r="A145" s="192"/>
      <c r="B145" s="193"/>
      <c r="C145" s="233"/>
      <c r="D145" s="195"/>
      <c r="E145" s="215"/>
      <c r="F145" s="247"/>
      <c r="G145" s="615"/>
      <c r="H145" s="643"/>
      <c r="I145" s="748"/>
      <c r="K145" s="262"/>
      <c r="L145" s="262"/>
      <c r="M145" s="262"/>
    </row>
    <row r="146" spans="1:13" ht="14.5" x14ac:dyDescent="0.35">
      <c r="A146" s="192"/>
      <c r="B146" s="193"/>
      <c r="C146" s="212"/>
      <c r="D146" s="213"/>
      <c r="E146" s="203"/>
      <c r="F146" s="203"/>
      <c r="G146" s="611"/>
      <c r="H146" s="641"/>
      <c r="I146" s="745"/>
      <c r="K146" s="262"/>
      <c r="L146" s="262"/>
      <c r="M146" s="262"/>
    </row>
    <row r="147" spans="1:13" thickBot="1" x14ac:dyDescent="0.4">
      <c r="A147" s="192"/>
      <c r="B147" s="193"/>
      <c r="C147" s="264"/>
      <c r="D147" s="265"/>
      <c r="E147" s="266"/>
      <c r="F147" s="266"/>
      <c r="G147" s="696"/>
      <c r="H147" s="712"/>
      <c r="I147" s="755"/>
      <c r="K147" s="262"/>
      <c r="L147" s="262"/>
      <c r="M147" s="262"/>
    </row>
    <row r="148" spans="1:13" thickBot="1" x14ac:dyDescent="0.4">
      <c r="A148" s="257"/>
      <c r="B148" s="268"/>
      <c r="C148" s="258">
        <f t="shared" ref="C148:F148" si="3">SUM(C117:C147)</f>
        <v>27225</v>
      </c>
      <c r="D148" s="259">
        <f t="shared" si="3"/>
        <v>598</v>
      </c>
      <c r="E148" s="260">
        <f t="shared" si="3"/>
        <v>2</v>
      </c>
      <c r="F148" s="884">
        <f t="shared" si="3"/>
        <v>4</v>
      </c>
      <c r="G148" s="885">
        <f>SUM(G117:G147)</f>
        <v>10</v>
      </c>
      <c r="H148" s="886"/>
      <c r="I148" s="887"/>
      <c r="K148" s="262"/>
      <c r="L148" s="262"/>
      <c r="M148" s="262"/>
    </row>
    <row r="149" spans="1:13" ht="14.5" x14ac:dyDescent="0.35">
      <c r="A149" s="262"/>
      <c r="B149" s="474"/>
      <c r="C149" s="475"/>
      <c r="D149" s="475"/>
      <c r="E149" s="476"/>
      <c r="F149" s="476"/>
      <c r="G149" s="477"/>
      <c r="H149" s="477"/>
      <c r="I149" s="262"/>
      <c r="J149" s="262"/>
      <c r="K149" s="262"/>
      <c r="L149" s="262"/>
      <c r="M149" s="262"/>
    </row>
    <row r="150" spans="1:13" ht="14.5" x14ac:dyDescent="0.35">
      <c r="A150" s="262"/>
      <c r="B150" s="474"/>
      <c r="C150" s="475"/>
      <c r="D150" s="475"/>
      <c r="E150" s="477"/>
      <c r="F150" s="477"/>
      <c r="G150" s="477"/>
      <c r="H150" s="477"/>
      <c r="I150" s="262"/>
      <c r="J150" s="262"/>
      <c r="K150" s="262"/>
      <c r="L150" s="262"/>
      <c r="M150" s="262"/>
    </row>
    <row r="151" spans="1:13" thickBot="1" x14ac:dyDescent="0.4">
      <c r="A151" s="262"/>
      <c r="B151" s="474"/>
      <c r="C151" s="475"/>
      <c r="D151" s="475"/>
      <c r="E151" s="477"/>
      <c r="F151" s="477"/>
      <c r="G151" s="477"/>
      <c r="H151" s="477"/>
      <c r="I151" s="262"/>
      <c r="J151" s="262"/>
      <c r="K151" s="262"/>
      <c r="L151" s="262"/>
      <c r="M151" s="262"/>
    </row>
    <row r="152" spans="1:13" thickBot="1" x14ac:dyDescent="0.4">
      <c r="A152" s="924" t="s">
        <v>85</v>
      </c>
      <c r="B152" s="924"/>
      <c r="C152" s="919" t="s">
        <v>1</v>
      </c>
      <c r="D152" s="919"/>
      <c r="E152" s="919"/>
      <c r="F152" s="857"/>
      <c r="G152" s="857"/>
      <c r="H152" s="262"/>
      <c r="I152" s="262"/>
      <c r="J152" s="262"/>
      <c r="K152" s="262"/>
      <c r="L152" s="262"/>
      <c r="M152" s="262"/>
    </row>
    <row r="153" spans="1:13" thickBot="1" x14ac:dyDescent="0.4">
      <c r="A153" s="924"/>
      <c r="B153" s="924"/>
      <c r="C153" s="920"/>
      <c r="D153" s="920"/>
      <c r="E153" s="920"/>
      <c r="F153" s="856"/>
      <c r="G153" s="262"/>
      <c r="H153" s="262"/>
      <c r="I153" s="262"/>
      <c r="J153" s="262"/>
      <c r="K153" s="262"/>
      <c r="L153" s="262"/>
      <c r="M153" s="262"/>
    </row>
    <row r="154" spans="1:13" ht="14.5" customHeight="1" thickBot="1" x14ac:dyDescent="0.45">
      <c r="A154" s="924"/>
      <c r="B154" s="924"/>
      <c r="C154" s="921" t="s">
        <v>88</v>
      </c>
      <c r="D154" s="272" t="s">
        <v>89</v>
      </c>
      <c r="E154" s="273" t="s">
        <v>90</v>
      </c>
      <c r="F154" s="767" t="s">
        <v>91</v>
      </c>
      <c r="G154" s="262"/>
      <c r="H154" s="262"/>
      <c r="I154" s="262"/>
      <c r="J154" s="262"/>
      <c r="K154" s="262"/>
      <c r="L154" s="262"/>
    </row>
    <row r="155" spans="1:13" ht="15" customHeight="1" x14ac:dyDescent="0.35">
      <c r="A155" s="925"/>
      <c r="B155" s="925"/>
      <c r="C155" s="922"/>
      <c r="D155" s="840" t="s">
        <v>7</v>
      </c>
      <c r="E155" s="841" t="s">
        <v>0</v>
      </c>
      <c r="F155" s="768" t="s">
        <v>0</v>
      </c>
      <c r="G155" s="262"/>
      <c r="H155" s="262"/>
      <c r="I155" s="262"/>
      <c r="J155" s="262"/>
      <c r="K155" s="262"/>
      <c r="L155" s="262"/>
    </row>
    <row r="156" spans="1:13" ht="16" customHeight="1" x14ac:dyDescent="0.35">
      <c r="A156" s="192" t="s">
        <v>16</v>
      </c>
      <c r="B156" s="193">
        <v>45689</v>
      </c>
      <c r="C156" s="285">
        <v>570</v>
      </c>
      <c r="D156" s="262">
        <v>12</v>
      </c>
      <c r="E156" s="682">
        <v>0</v>
      </c>
      <c r="F156" s="616">
        <v>1</v>
      </c>
      <c r="G156" s="262"/>
      <c r="H156" s="262"/>
      <c r="I156" s="262"/>
      <c r="J156" s="262"/>
      <c r="K156" s="262"/>
      <c r="L156" s="262"/>
    </row>
    <row r="157" spans="1:13" ht="14.5" customHeight="1" x14ac:dyDescent="0.35">
      <c r="A157" s="192" t="s">
        <v>18</v>
      </c>
      <c r="B157" s="193">
        <v>45690</v>
      </c>
      <c r="C157" s="280"/>
      <c r="D157" s="197"/>
      <c r="E157" s="675"/>
      <c r="F157" s="613"/>
      <c r="G157" s="262"/>
      <c r="H157" s="262"/>
      <c r="I157" s="262"/>
      <c r="J157" s="262"/>
      <c r="K157" s="262"/>
      <c r="L157" s="262"/>
    </row>
    <row r="158" spans="1:13" ht="14.5" x14ac:dyDescent="0.35">
      <c r="A158" s="192" t="s">
        <v>20</v>
      </c>
      <c r="B158" s="193">
        <v>45691</v>
      </c>
      <c r="C158" s="479">
        <v>3113</v>
      </c>
      <c r="D158" s="262">
        <v>9</v>
      </c>
      <c r="E158" s="681">
        <v>0</v>
      </c>
      <c r="F158" s="713">
        <v>0</v>
      </c>
      <c r="G158" s="262"/>
      <c r="H158" s="262"/>
      <c r="I158" s="262"/>
      <c r="J158" s="262"/>
      <c r="K158" s="262"/>
      <c r="L158" s="262"/>
    </row>
    <row r="159" spans="1:13" ht="14.5" x14ac:dyDescent="0.35">
      <c r="A159" s="192" t="s">
        <v>22</v>
      </c>
      <c r="B159" s="193">
        <v>45692</v>
      </c>
      <c r="C159" s="280">
        <v>2121</v>
      </c>
      <c r="D159" s="197">
        <v>13</v>
      </c>
      <c r="E159" s="675">
        <v>1</v>
      </c>
      <c r="F159" s="613">
        <v>0</v>
      </c>
      <c r="G159" s="262"/>
      <c r="H159" s="262"/>
      <c r="I159" s="262"/>
      <c r="J159" s="262"/>
      <c r="K159" s="262"/>
      <c r="L159" s="262"/>
    </row>
    <row r="160" spans="1:13" ht="14.5" x14ac:dyDescent="0.35">
      <c r="A160" s="192" t="s">
        <v>24</v>
      </c>
      <c r="B160" s="193">
        <v>45693</v>
      </c>
      <c r="C160" s="283">
        <v>1559</v>
      </c>
      <c r="D160" s="262">
        <v>10</v>
      </c>
      <c r="E160" s="682">
        <v>1</v>
      </c>
      <c r="F160" s="616">
        <v>0</v>
      </c>
      <c r="G160" s="262"/>
      <c r="H160" s="262"/>
      <c r="I160" s="262"/>
      <c r="J160" s="262"/>
      <c r="K160" s="262"/>
      <c r="L160" s="262"/>
    </row>
    <row r="161" spans="1:12" ht="14.5" x14ac:dyDescent="0.35">
      <c r="A161" s="192" t="s">
        <v>10</v>
      </c>
      <c r="B161" s="193">
        <v>45694</v>
      </c>
      <c r="C161" s="283">
        <v>2060</v>
      </c>
      <c r="D161" s="197">
        <v>15</v>
      </c>
      <c r="E161" s="682">
        <v>1</v>
      </c>
      <c r="F161" s="616">
        <v>0</v>
      </c>
      <c r="G161" s="262"/>
      <c r="H161" s="262"/>
      <c r="I161" s="262"/>
      <c r="J161" s="262"/>
      <c r="K161" s="262"/>
      <c r="L161" s="262"/>
    </row>
    <row r="162" spans="1:12" ht="14.5" x14ac:dyDescent="0.35">
      <c r="A162" s="192" t="s">
        <v>13</v>
      </c>
      <c r="B162" s="193">
        <v>45695</v>
      </c>
      <c r="C162" s="480">
        <v>1130</v>
      </c>
      <c r="D162" s="262">
        <v>13</v>
      </c>
      <c r="E162" s="680">
        <v>2</v>
      </c>
      <c r="F162" s="714">
        <v>2</v>
      </c>
      <c r="G162" s="262"/>
      <c r="H162" s="262"/>
      <c r="I162" s="262"/>
      <c r="J162" s="262"/>
      <c r="K162" s="262"/>
      <c r="L162" s="262"/>
    </row>
    <row r="163" spans="1:12" ht="14.5" x14ac:dyDescent="0.35">
      <c r="A163" s="192" t="s">
        <v>16</v>
      </c>
      <c r="B163" s="193">
        <v>45696</v>
      </c>
      <c r="C163" s="285">
        <v>648</v>
      </c>
      <c r="D163" s="197">
        <v>12</v>
      </c>
      <c r="E163" s="678">
        <v>0</v>
      </c>
      <c r="F163" s="715">
        <v>1</v>
      </c>
      <c r="G163" s="262"/>
      <c r="H163" s="262"/>
      <c r="I163" s="262"/>
      <c r="J163" s="262"/>
      <c r="K163" s="262"/>
      <c r="L163" s="262"/>
    </row>
    <row r="164" spans="1:12" ht="14.5" x14ac:dyDescent="0.35">
      <c r="A164" s="192" t="s">
        <v>18</v>
      </c>
      <c r="B164" s="193">
        <v>45697</v>
      </c>
      <c r="C164" s="285"/>
      <c r="D164" s="262"/>
      <c r="E164" s="678"/>
      <c r="F164" s="715"/>
      <c r="G164" s="262"/>
      <c r="H164" s="262"/>
      <c r="I164" s="262"/>
      <c r="J164" s="262"/>
      <c r="K164" s="262"/>
      <c r="L164" s="262"/>
    </row>
    <row r="165" spans="1:12" ht="14.5" x14ac:dyDescent="0.35">
      <c r="A165" s="192" t="s">
        <v>20</v>
      </c>
      <c r="B165" s="193">
        <v>45698</v>
      </c>
      <c r="C165" s="285">
        <v>3164</v>
      </c>
      <c r="D165" s="197">
        <v>8</v>
      </c>
      <c r="E165" s="680">
        <v>0</v>
      </c>
      <c r="F165" s="714">
        <v>0</v>
      </c>
      <c r="G165" s="262"/>
      <c r="H165" s="262"/>
      <c r="I165" s="262"/>
      <c r="J165" s="262"/>
      <c r="K165" s="262"/>
      <c r="L165" s="262"/>
    </row>
    <row r="166" spans="1:12" ht="14.5" x14ac:dyDescent="0.35">
      <c r="A166" s="192" t="s">
        <v>22</v>
      </c>
      <c r="B166" s="193">
        <v>45699</v>
      </c>
      <c r="C166" s="285">
        <v>4124</v>
      </c>
      <c r="D166" s="262">
        <v>12</v>
      </c>
      <c r="E166" s="678">
        <v>0</v>
      </c>
      <c r="F166" s="715">
        <v>0</v>
      </c>
      <c r="G166" s="262"/>
      <c r="H166" s="262"/>
      <c r="I166" s="262"/>
      <c r="J166" s="262"/>
      <c r="K166" s="262"/>
      <c r="L166" s="262"/>
    </row>
    <row r="167" spans="1:12" ht="14.5" customHeight="1" x14ac:dyDescent="0.35">
      <c r="A167" s="192" t="s">
        <v>24</v>
      </c>
      <c r="B167" s="193">
        <v>45700</v>
      </c>
      <c r="C167" s="285">
        <v>978</v>
      </c>
      <c r="D167" s="197">
        <v>8</v>
      </c>
      <c r="E167" s="681">
        <v>0</v>
      </c>
      <c r="F167" s="713">
        <v>0</v>
      </c>
      <c r="G167" s="262"/>
      <c r="H167" s="262"/>
      <c r="I167" s="262"/>
      <c r="J167" s="262"/>
      <c r="K167" s="262"/>
      <c r="L167" s="262"/>
    </row>
    <row r="168" spans="1:12" ht="15" customHeight="1" x14ac:dyDescent="0.35">
      <c r="A168" s="192" t="s">
        <v>10</v>
      </c>
      <c r="B168" s="193">
        <v>45701</v>
      </c>
      <c r="C168" s="285">
        <v>753</v>
      </c>
      <c r="D168" s="262">
        <v>12</v>
      </c>
      <c r="E168" s="678">
        <v>0</v>
      </c>
      <c r="F168" s="715">
        <v>0</v>
      </c>
      <c r="G168" s="262"/>
      <c r="H168" s="262"/>
      <c r="I168" s="262"/>
      <c r="J168" s="262"/>
      <c r="K168" s="262"/>
      <c r="L168" s="262"/>
    </row>
    <row r="169" spans="1:12" ht="16" customHeight="1" x14ac:dyDescent="0.35">
      <c r="A169" s="192" t="s">
        <v>13</v>
      </c>
      <c r="B169" s="193">
        <v>45702</v>
      </c>
      <c r="C169" s="285"/>
      <c r="D169" s="197">
        <v>12</v>
      </c>
      <c r="E169" s="681">
        <v>0</v>
      </c>
      <c r="F169" s="713">
        <v>0</v>
      </c>
      <c r="G169" s="262" t="s">
        <v>347</v>
      </c>
      <c r="H169" s="262"/>
      <c r="I169" s="262"/>
      <c r="J169" s="262"/>
      <c r="K169" s="262"/>
      <c r="L169" s="262"/>
    </row>
    <row r="170" spans="1:12" ht="14.5" customHeight="1" x14ac:dyDescent="0.35">
      <c r="A170" s="192" t="s">
        <v>16</v>
      </c>
      <c r="B170" s="193">
        <v>45703</v>
      </c>
      <c r="C170" s="285">
        <v>767</v>
      </c>
      <c r="D170" s="262">
        <v>17</v>
      </c>
      <c r="E170" s="682">
        <v>0</v>
      </c>
      <c r="F170" s="616">
        <v>0</v>
      </c>
      <c r="G170" s="262"/>
      <c r="H170" s="262"/>
      <c r="I170" s="262"/>
      <c r="J170" s="262"/>
      <c r="K170" s="262"/>
      <c r="L170" s="262"/>
    </row>
    <row r="171" spans="1:12" ht="14.5" x14ac:dyDescent="0.35">
      <c r="A171" s="192" t="s">
        <v>18</v>
      </c>
      <c r="B171" s="193">
        <v>45704</v>
      </c>
      <c r="C171" s="285"/>
      <c r="D171" s="286"/>
      <c r="E171" s="681"/>
      <c r="F171" s="713"/>
      <c r="G171" s="262"/>
      <c r="H171" s="262"/>
      <c r="I171" s="262"/>
      <c r="J171" s="262"/>
      <c r="K171" s="262"/>
      <c r="L171" s="262"/>
    </row>
    <row r="172" spans="1:12" ht="14.5" x14ac:dyDescent="0.35">
      <c r="A172" s="192" t="s">
        <v>20</v>
      </c>
      <c r="B172" s="193">
        <v>45705</v>
      </c>
      <c r="C172" s="285">
        <v>1209</v>
      </c>
      <c r="D172" s="481">
        <v>16</v>
      </c>
      <c r="E172" s="675">
        <v>0</v>
      </c>
      <c r="F172" s="613">
        <v>0</v>
      </c>
      <c r="G172" s="262"/>
      <c r="H172" s="262"/>
      <c r="I172" s="262"/>
      <c r="J172" s="262"/>
      <c r="K172" s="262"/>
      <c r="L172" s="262"/>
    </row>
    <row r="173" spans="1:12" ht="14.5" x14ac:dyDescent="0.35">
      <c r="A173" s="192" t="s">
        <v>22</v>
      </c>
      <c r="B173" s="193">
        <v>45706</v>
      </c>
      <c r="C173" s="285">
        <v>3532</v>
      </c>
      <c r="D173" s="288">
        <v>16</v>
      </c>
      <c r="E173" s="682">
        <v>0</v>
      </c>
      <c r="F173" s="616">
        <v>0</v>
      </c>
      <c r="G173" s="262"/>
      <c r="H173" s="262"/>
      <c r="I173" s="262"/>
      <c r="J173" s="262"/>
      <c r="K173" s="262"/>
      <c r="L173" s="262"/>
    </row>
    <row r="174" spans="1:12" ht="15.65" customHeight="1" x14ac:dyDescent="0.35">
      <c r="A174" s="192" t="s">
        <v>24</v>
      </c>
      <c r="B174" s="193">
        <v>45707</v>
      </c>
      <c r="C174" s="285">
        <v>2722</v>
      </c>
      <c r="D174" s="481">
        <v>6</v>
      </c>
      <c r="E174" s="675">
        <v>0</v>
      </c>
      <c r="F174" s="613">
        <v>0</v>
      </c>
      <c r="G174" s="262"/>
      <c r="H174" s="262"/>
      <c r="I174" s="262"/>
      <c r="J174" s="262"/>
      <c r="K174" s="262"/>
      <c r="L174" s="262"/>
    </row>
    <row r="175" spans="1:12" ht="14.5" x14ac:dyDescent="0.35">
      <c r="A175" s="192" t="s">
        <v>10</v>
      </c>
      <c r="B175" s="193">
        <v>45708</v>
      </c>
      <c r="C175" s="285">
        <v>350</v>
      </c>
      <c r="D175" s="286">
        <v>14</v>
      </c>
      <c r="E175" s="675">
        <v>1</v>
      </c>
      <c r="F175" s="613">
        <v>0</v>
      </c>
      <c r="G175" s="262"/>
      <c r="H175" s="262"/>
      <c r="I175" s="262"/>
      <c r="J175" s="262"/>
      <c r="K175" s="262"/>
      <c r="L175" s="262"/>
    </row>
    <row r="176" spans="1:12" ht="14.5" x14ac:dyDescent="0.35">
      <c r="A176" s="192" t="s">
        <v>13</v>
      </c>
      <c r="B176" s="193">
        <v>45709</v>
      </c>
      <c r="C176" s="285">
        <v>380</v>
      </c>
      <c r="D176" s="481">
        <v>12</v>
      </c>
      <c r="E176" s="681">
        <v>1</v>
      </c>
      <c r="F176" s="713">
        <v>0</v>
      </c>
      <c r="G176" s="262"/>
      <c r="H176" s="262"/>
      <c r="I176" s="262"/>
      <c r="J176" s="262"/>
      <c r="K176" s="262"/>
      <c r="L176" s="262"/>
    </row>
    <row r="177" spans="1:14" ht="14.5" x14ac:dyDescent="0.35">
      <c r="A177" s="192" t="s">
        <v>16</v>
      </c>
      <c r="B177" s="193">
        <v>45710</v>
      </c>
      <c r="C177" s="285">
        <v>367</v>
      </c>
      <c r="D177" s="286">
        <v>13</v>
      </c>
      <c r="E177" s="681">
        <v>1</v>
      </c>
      <c r="F177" s="713">
        <v>0</v>
      </c>
      <c r="G177" s="262"/>
      <c r="H177" s="262"/>
      <c r="I177" s="262"/>
      <c r="J177" s="262"/>
      <c r="K177" s="262"/>
      <c r="L177" s="262"/>
    </row>
    <row r="178" spans="1:14" ht="14.5" x14ac:dyDescent="0.35">
      <c r="A178" s="192" t="s">
        <v>18</v>
      </c>
      <c r="B178" s="193">
        <v>45711</v>
      </c>
      <c r="C178" s="285"/>
      <c r="D178" s="481"/>
      <c r="E178" s="675"/>
      <c r="F178" s="613"/>
      <c r="G178" s="262"/>
      <c r="H178" s="262"/>
      <c r="I178" s="262"/>
      <c r="J178" s="262"/>
      <c r="K178" s="262"/>
      <c r="L178" s="262"/>
    </row>
    <row r="179" spans="1:14" ht="14.5" x14ac:dyDescent="0.35">
      <c r="A179" s="192" t="s">
        <v>20</v>
      </c>
      <c r="B179" s="193">
        <v>45712</v>
      </c>
      <c r="C179" s="285">
        <v>4342</v>
      </c>
      <c r="D179" s="286">
        <v>13</v>
      </c>
      <c r="E179" s="681">
        <v>0</v>
      </c>
      <c r="F179" s="713">
        <v>2</v>
      </c>
      <c r="G179" s="262"/>
      <c r="H179" s="262"/>
      <c r="I179" s="262"/>
      <c r="J179" s="262"/>
      <c r="K179" s="262"/>
      <c r="L179" s="262"/>
    </row>
    <row r="180" spans="1:14" ht="14.5" x14ac:dyDescent="0.35">
      <c r="A180" s="192" t="s">
        <v>22</v>
      </c>
      <c r="B180" s="193">
        <v>45713</v>
      </c>
      <c r="C180" s="482">
        <v>4009</v>
      </c>
      <c r="D180" s="481">
        <v>11</v>
      </c>
      <c r="E180" s="681">
        <v>0</v>
      </c>
      <c r="F180" s="713">
        <v>0</v>
      </c>
      <c r="G180" s="262"/>
      <c r="H180" s="262"/>
      <c r="I180" s="262"/>
      <c r="J180" s="262"/>
      <c r="K180" s="262"/>
      <c r="L180" s="262"/>
    </row>
    <row r="181" spans="1:14" ht="14.5" x14ac:dyDescent="0.35">
      <c r="A181" s="192" t="s">
        <v>24</v>
      </c>
      <c r="B181" s="193">
        <v>45714</v>
      </c>
      <c r="C181" s="290">
        <v>4426</v>
      </c>
      <c r="D181" s="286">
        <v>13</v>
      </c>
      <c r="E181" s="682">
        <v>0</v>
      </c>
      <c r="F181" s="616">
        <v>0</v>
      </c>
      <c r="G181" s="262"/>
      <c r="H181" s="262"/>
      <c r="I181" s="262"/>
      <c r="J181" s="262"/>
      <c r="K181" s="262"/>
      <c r="L181" s="262"/>
    </row>
    <row r="182" spans="1:14" ht="14.5" x14ac:dyDescent="0.35">
      <c r="A182" s="192" t="s">
        <v>10</v>
      </c>
      <c r="B182" s="193">
        <v>45715</v>
      </c>
      <c r="C182" s="290">
        <v>2537</v>
      </c>
      <c r="D182" s="481">
        <v>13</v>
      </c>
      <c r="E182" s="682">
        <v>1</v>
      </c>
      <c r="F182" s="616">
        <v>0</v>
      </c>
      <c r="G182" s="262"/>
      <c r="H182" s="262"/>
      <c r="I182" s="262"/>
      <c r="J182" s="262"/>
      <c r="K182" s="262"/>
      <c r="L182" s="262"/>
    </row>
    <row r="183" spans="1:14" ht="14.5" x14ac:dyDescent="0.35">
      <c r="A183" s="192" t="s">
        <v>13</v>
      </c>
      <c r="B183" s="193">
        <v>45716</v>
      </c>
      <c r="C183" s="290">
        <v>413</v>
      </c>
      <c r="D183" s="286">
        <v>9</v>
      </c>
      <c r="E183" s="682">
        <v>1</v>
      </c>
      <c r="F183" s="616">
        <v>1</v>
      </c>
      <c r="G183" s="262"/>
      <c r="H183" s="262"/>
      <c r="I183" s="262"/>
      <c r="J183" s="262"/>
      <c r="K183" s="262"/>
      <c r="L183" s="262"/>
    </row>
    <row r="184" spans="1:14" ht="14.5" x14ac:dyDescent="0.35">
      <c r="A184" s="192"/>
      <c r="B184" s="193"/>
      <c r="C184" s="290"/>
      <c r="D184" s="481"/>
      <c r="E184" s="682"/>
      <c r="F184" s="616"/>
      <c r="G184" s="262"/>
      <c r="H184" s="262"/>
      <c r="I184" s="262"/>
      <c r="J184" s="262"/>
      <c r="K184" s="262"/>
      <c r="L184" s="262"/>
    </row>
    <row r="185" spans="1:14" ht="14.5" x14ac:dyDescent="0.35">
      <c r="A185" s="192"/>
      <c r="B185" s="193"/>
      <c r="C185" s="290"/>
      <c r="D185" s="262"/>
      <c r="E185" s="682"/>
      <c r="F185" s="616"/>
      <c r="G185" s="262"/>
      <c r="H185" s="262"/>
      <c r="I185" s="262"/>
      <c r="J185" s="262"/>
      <c r="K185" s="262"/>
      <c r="L185" s="262"/>
    </row>
    <row r="186" spans="1:14" thickBot="1" x14ac:dyDescent="0.4">
      <c r="A186" s="192"/>
      <c r="B186" s="193"/>
      <c r="C186" s="718"/>
      <c r="D186" s="719"/>
      <c r="E186" s="720"/>
      <c r="F186" s="721"/>
      <c r="G186" s="262"/>
      <c r="H186" s="262"/>
      <c r="I186" s="262"/>
      <c r="J186" s="262"/>
      <c r="K186" s="262"/>
      <c r="L186" s="262"/>
    </row>
    <row r="187" spans="1:14" ht="14.5" x14ac:dyDescent="0.35">
      <c r="A187" s="257"/>
      <c r="B187" s="483"/>
      <c r="C187" s="484">
        <f>SUM(C155:C186)</f>
        <v>45274</v>
      </c>
      <c r="D187" s="485">
        <f>SUM(D155:D186)</f>
        <v>289</v>
      </c>
      <c r="E187" s="486">
        <f>SUM(E155:E186)</f>
        <v>10</v>
      </c>
      <c r="F187" s="487">
        <f>SUM(F155:F186)</f>
        <v>7</v>
      </c>
      <c r="H187" s="477"/>
      <c r="I187" s="262"/>
      <c r="J187" s="262"/>
      <c r="M187" s="262"/>
    </row>
    <row r="188" spans="1:14" ht="14.5" x14ac:dyDescent="0.35">
      <c r="A188" s="262"/>
      <c r="B188" s="433"/>
      <c r="C188" s="508"/>
      <c r="D188" s="262"/>
      <c r="E188" s="508"/>
      <c r="F188" s="262"/>
      <c r="H188" s="262"/>
      <c r="I188" s="262"/>
      <c r="J188" s="262"/>
    </row>
    <row r="189" spans="1:14" ht="14.5" x14ac:dyDescent="0.35">
      <c r="A189" s="262"/>
      <c r="B189" s="262"/>
      <c r="C189" s="511"/>
      <c r="D189" s="511"/>
      <c r="E189" s="475"/>
      <c r="F189" s="511"/>
      <c r="H189" s="511"/>
      <c r="I189" s="262"/>
      <c r="J189" s="262"/>
      <c r="M189" s="262"/>
    </row>
    <row r="190" spans="1:14" thickBot="1" x14ac:dyDescent="0.4">
      <c r="A190" s="262"/>
      <c r="D190" s="511"/>
    </row>
    <row r="191" spans="1:14" ht="14.5" x14ac:dyDescent="0.35">
      <c r="A191" s="777"/>
      <c r="B191" s="778" t="s">
        <v>417</v>
      </c>
      <c r="C191" s="779" t="s">
        <v>93</v>
      </c>
      <c r="M191" s="780" t="s">
        <v>94</v>
      </c>
      <c r="N191" s="818" t="s">
        <v>98</v>
      </c>
    </row>
    <row r="192" spans="1:14" ht="14.5" x14ac:dyDescent="0.35">
      <c r="A192" s="781" t="s">
        <v>99</v>
      </c>
      <c r="B192" s="782">
        <f>C35/24*24</f>
        <v>57833</v>
      </c>
      <c r="C192" s="852">
        <f>B192-65000</f>
        <v>-7167</v>
      </c>
      <c r="M192" s="889">
        <v>62209</v>
      </c>
      <c r="N192" s="789">
        <f t="shared" ref="N192:N197" si="4">AVERAGE(M192)</f>
        <v>62209</v>
      </c>
    </row>
    <row r="193" spans="1:14" ht="14.5" x14ac:dyDescent="0.35">
      <c r="A193" s="790" t="s">
        <v>37</v>
      </c>
      <c r="B193" s="782">
        <f>C74/24*24</f>
        <v>44025</v>
      </c>
      <c r="C193" s="852">
        <f>B193-45000</f>
        <v>-975</v>
      </c>
      <c r="M193" s="889">
        <v>55755</v>
      </c>
      <c r="N193" s="789">
        <f t="shared" si="4"/>
        <v>55755</v>
      </c>
    </row>
    <row r="194" spans="1:14" ht="14.5" x14ac:dyDescent="0.35">
      <c r="A194" s="790" t="s">
        <v>100</v>
      </c>
      <c r="B194" s="782">
        <f>C110/24*24</f>
        <v>39270</v>
      </c>
      <c r="C194" s="852">
        <f>B194-55000</f>
        <v>-15730</v>
      </c>
      <c r="M194" s="889">
        <v>51074</v>
      </c>
      <c r="N194" s="789">
        <f t="shared" si="4"/>
        <v>51074</v>
      </c>
    </row>
    <row r="195" spans="1:14" ht="14.5" x14ac:dyDescent="0.35">
      <c r="A195" s="791" t="s">
        <v>70</v>
      </c>
      <c r="B195" s="782">
        <f>C148/24*24</f>
        <v>27225</v>
      </c>
      <c r="C195" s="852">
        <f>B195-35000</f>
        <v>-7775</v>
      </c>
      <c r="M195" s="889">
        <v>36729</v>
      </c>
      <c r="N195" s="789">
        <f t="shared" si="4"/>
        <v>36729</v>
      </c>
    </row>
    <row r="196" spans="1:14" thickBot="1" x14ac:dyDescent="0.4">
      <c r="A196" s="797" t="s">
        <v>88</v>
      </c>
      <c r="B196" s="798">
        <f>C187/24*24</f>
        <v>45274</v>
      </c>
      <c r="C196" s="868"/>
      <c r="M196" s="889">
        <v>38776</v>
      </c>
      <c r="N196" s="789">
        <f t="shared" si="4"/>
        <v>38776</v>
      </c>
    </row>
    <row r="197" spans="1:14" thickBot="1" x14ac:dyDescent="0.4">
      <c r="A197" s="801" t="s">
        <v>101</v>
      </c>
      <c r="B197" s="802">
        <f>SUM(B192:B196)</f>
        <v>213627</v>
      </c>
      <c r="C197" s="891">
        <f>SUM(C192:C196)</f>
        <v>-31647</v>
      </c>
      <c r="M197" s="890">
        <v>244543</v>
      </c>
      <c r="N197" s="809">
        <f t="shared" si="4"/>
        <v>244543</v>
      </c>
    </row>
    <row r="198" spans="1:14" ht="14.5" x14ac:dyDescent="0.35">
      <c r="A198" s="810"/>
      <c r="B198" s="811">
        <f>B197/26</f>
        <v>8216.4230769230762</v>
      </c>
      <c r="C198" s="810"/>
    </row>
    <row r="199" spans="1:14" ht="14.5" x14ac:dyDescent="0.35">
      <c r="A199" s="810"/>
      <c r="B199" s="813"/>
      <c r="C199" s="814"/>
    </row>
    <row r="200" spans="1:14" ht="14.5" x14ac:dyDescent="0.35">
      <c r="A200" s="816" t="s">
        <v>102</v>
      </c>
      <c r="B200" s="780" t="s">
        <v>112</v>
      </c>
      <c r="C200" s="780" t="s">
        <v>113</v>
      </c>
      <c r="D200" s="780" t="s">
        <v>114</v>
      </c>
      <c r="E200" s="780" t="s">
        <v>103</v>
      </c>
      <c r="F200" s="780" t="s">
        <v>104</v>
      </c>
      <c r="G200" s="780" t="s">
        <v>105</v>
      </c>
      <c r="H200" s="780" t="s">
        <v>106</v>
      </c>
      <c r="I200" s="780" t="s">
        <v>107</v>
      </c>
      <c r="J200" s="780" t="s">
        <v>108</v>
      </c>
      <c r="K200" s="835" t="s">
        <v>109</v>
      </c>
      <c r="L200" s="894" t="s">
        <v>110</v>
      </c>
      <c r="M200" s="780" t="s">
        <v>111</v>
      </c>
      <c r="N200" s="818" t="s">
        <v>98</v>
      </c>
    </row>
    <row r="201" spans="1:14" ht="14.5" x14ac:dyDescent="0.35">
      <c r="A201" s="819" t="s">
        <v>99</v>
      </c>
      <c r="B201" s="784">
        <v>65325</v>
      </c>
      <c r="C201" s="785">
        <v>71363</v>
      </c>
      <c r="D201" s="785">
        <v>75374</v>
      </c>
      <c r="E201" s="786">
        <v>72600</v>
      </c>
      <c r="F201" s="787">
        <v>72030</v>
      </c>
      <c r="G201" s="787">
        <v>72545</v>
      </c>
      <c r="H201" s="786">
        <v>75155</v>
      </c>
      <c r="I201" s="784">
        <v>62987</v>
      </c>
      <c r="J201" s="784">
        <v>64844</v>
      </c>
      <c r="K201" s="863">
        <v>53912</v>
      </c>
      <c r="L201" s="888">
        <v>70795</v>
      </c>
      <c r="M201" s="783">
        <v>59678</v>
      </c>
      <c r="N201" s="789">
        <f>AVERAGE(B201:L201)</f>
        <v>68811.818181818177</v>
      </c>
    </row>
    <row r="202" spans="1:14" ht="14.5" x14ac:dyDescent="0.35">
      <c r="A202" s="819" t="s">
        <v>37</v>
      </c>
      <c r="B202" s="784">
        <v>38287</v>
      </c>
      <c r="C202" s="785">
        <v>45858</v>
      </c>
      <c r="D202" s="785">
        <v>55612</v>
      </c>
      <c r="E202" s="786">
        <v>53980</v>
      </c>
      <c r="F202" s="787">
        <v>49420</v>
      </c>
      <c r="G202" s="787">
        <v>54821</v>
      </c>
      <c r="H202" s="786">
        <v>56018</v>
      </c>
      <c r="I202" s="784">
        <v>60228</v>
      </c>
      <c r="J202" s="784">
        <v>54103</v>
      </c>
      <c r="K202" s="863">
        <v>41310</v>
      </c>
      <c r="L202" s="888">
        <v>46158</v>
      </c>
      <c r="M202" s="783">
        <v>43365</v>
      </c>
      <c r="N202" s="789">
        <f>AVERAGE(B202:L202)</f>
        <v>50526.818181818184</v>
      </c>
    </row>
    <row r="203" spans="1:14" ht="14.5" x14ac:dyDescent="0.35">
      <c r="A203" s="819" t="s">
        <v>100</v>
      </c>
      <c r="B203" s="784">
        <v>54088</v>
      </c>
      <c r="C203" s="785">
        <v>56961</v>
      </c>
      <c r="D203" s="785">
        <v>56144</v>
      </c>
      <c r="E203" s="786">
        <v>54118</v>
      </c>
      <c r="F203" s="787">
        <v>58320</v>
      </c>
      <c r="G203" s="787">
        <v>51390</v>
      </c>
      <c r="H203" s="786">
        <v>60136.999999999993</v>
      </c>
      <c r="I203" s="784">
        <v>56294</v>
      </c>
      <c r="J203" s="784">
        <v>71263</v>
      </c>
      <c r="K203" s="863">
        <v>57204</v>
      </c>
      <c r="L203" s="888">
        <v>56105</v>
      </c>
      <c r="M203" s="783">
        <v>43344</v>
      </c>
      <c r="N203" s="789">
        <f>AVERAGE(B203:L203)</f>
        <v>57456.727272727272</v>
      </c>
    </row>
    <row r="204" spans="1:14" ht="14.5" x14ac:dyDescent="0.35">
      <c r="A204" s="865" t="s">
        <v>115</v>
      </c>
      <c r="B204" s="793"/>
      <c r="C204" s="794"/>
      <c r="D204" s="794"/>
      <c r="E204" s="795"/>
      <c r="F204" s="796"/>
      <c r="G204" s="796">
        <v>15641</v>
      </c>
      <c r="H204" s="786">
        <v>49296</v>
      </c>
      <c r="I204" s="784">
        <v>46460</v>
      </c>
      <c r="J204" s="784">
        <v>38381</v>
      </c>
      <c r="K204" s="863">
        <v>34911</v>
      </c>
      <c r="L204" s="888">
        <v>34895</v>
      </c>
      <c r="M204" s="795"/>
      <c r="N204" s="789">
        <f>AVERAGE(H204:L204)</f>
        <v>40788.6</v>
      </c>
    </row>
    <row r="205" spans="1:14" ht="14.5" x14ac:dyDescent="0.35">
      <c r="A205" s="819" t="s">
        <v>88</v>
      </c>
      <c r="B205" s="784">
        <v>44190</v>
      </c>
      <c r="C205" s="785">
        <v>32129</v>
      </c>
      <c r="D205" s="785">
        <v>67460</v>
      </c>
      <c r="E205" s="786">
        <v>57984</v>
      </c>
      <c r="F205" s="787">
        <v>47444</v>
      </c>
      <c r="G205" s="787">
        <v>56888</v>
      </c>
      <c r="H205" s="800">
        <v>64418</v>
      </c>
      <c r="I205" s="784">
        <v>47105</v>
      </c>
      <c r="J205" s="784">
        <v>51582</v>
      </c>
      <c r="K205" s="863">
        <v>45924</v>
      </c>
      <c r="L205" s="888">
        <v>44591</v>
      </c>
      <c r="M205" s="783">
        <v>34063</v>
      </c>
      <c r="N205" s="789">
        <f>AVERAGE(B205:L205)</f>
        <v>50883.181818181816</v>
      </c>
    </row>
    <row r="206" spans="1:14" ht="14.5" x14ac:dyDescent="0.35">
      <c r="A206" s="822" t="s">
        <v>101</v>
      </c>
      <c r="B206" s="804">
        <f>SUM(B201:B205)</f>
        <v>201890</v>
      </c>
      <c r="C206" s="804">
        <f>SUM(C201:C205)</f>
        <v>206311</v>
      </c>
      <c r="D206" s="804">
        <f>SUM(D201:D205)</f>
        <v>254590</v>
      </c>
      <c r="E206" s="804">
        <f>SUM(E201:E205)</f>
        <v>238682</v>
      </c>
      <c r="F206" s="804">
        <f>SUM(F201:F205)</f>
        <v>227214</v>
      </c>
      <c r="G206" s="804">
        <v>251285</v>
      </c>
      <c r="H206" s="805">
        <v>305024</v>
      </c>
      <c r="I206" s="806">
        <f>SUM(I201:I205)</f>
        <v>273074</v>
      </c>
      <c r="J206" s="807">
        <v>280173</v>
      </c>
      <c r="K206" s="808">
        <v>233261</v>
      </c>
      <c r="L206" s="883">
        <f>SUM(L201:L205)</f>
        <v>252544</v>
      </c>
      <c r="M206" s="803">
        <v>180450</v>
      </c>
      <c r="N206" s="809">
        <f>SUM(N201:N205)</f>
        <v>268467.14545454545</v>
      </c>
    </row>
    <row r="207" spans="1:14" ht="14.5" x14ac:dyDescent="0.35">
      <c r="A207" s="810"/>
      <c r="B207" s="815"/>
      <c r="C207" s="815"/>
      <c r="D207" s="815"/>
      <c r="E207" s="815"/>
      <c r="F207" s="815"/>
      <c r="G207" s="815"/>
      <c r="H207" s="815"/>
      <c r="I207" s="815"/>
      <c r="J207" s="810"/>
      <c r="K207" s="810"/>
      <c r="M207" s="815"/>
      <c r="N207" s="810"/>
    </row>
    <row r="208" spans="1:14" ht="14.5" x14ac:dyDescent="0.35">
      <c r="A208" s="817" t="s">
        <v>102</v>
      </c>
      <c r="B208" s="816" t="s">
        <v>125</v>
      </c>
      <c r="C208" s="816" t="s">
        <v>126</v>
      </c>
      <c r="D208" s="816" t="s">
        <v>127</v>
      </c>
      <c r="E208" s="816" t="s">
        <v>116</v>
      </c>
      <c r="F208" s="817" t="s">
        <v>117</v>
      </c>
      <c r="G208" s="816" t="s">
        <v>118</v>
      </c>
      <c r="H208" s="816" t="s">
        <v>119</v>
      </c>
      <c r="I208" s="816" t="s">
        <v>120</v>
      </c>
      <c r="J208" s="816" t="s">
        <v>121</v>
      </c>
      <c r="K208" s="816" t="s">
        <v>122</v>
      </c>
      <c r="L208" s="816" t="s">
        <v>123</v>
      </c>
      <c r="M208" s="816" t="s">
        <v>124</v>
      </c>
      <c r="N208" s="818" t="s">
        <v>98</v>
      </c>
    </row>
    <row r="209" spans="1:14" ht="14.5" x14ac:dyDescent="0.35">
      <c r="A209" s="833" t="s">
        <v>99</v>
      </c>
      <c r="B209" s="819">
        <v>48081</v>
      </c>
      <c r="C209" s="819">
        <v>66142</v>
      </c>
      <c r="D209" s="819">
        <v>58127</v>
      </c>
      <c r="E209" s="819">
        <v>74979</v>
      </c>
      <c r="F209" s="820">
        <v>63950</v>
      </c>
      <c r="G209" s="819">
        <v>73973</v>
      </c>
      <c r="H209" s="819">
        <v>63776</v>
      </c>
      <c r="I209" s="819">
        <v>62209</v>
      </c>
      <c r="J209" s="819">
        <v>61961</v>
      </c>
      <c r="K209" s="819">
        <v>62927</v>
      </c>
      <c r="L209" s="819">
        <v>50792</v>
      </c>
      <c r="M209" s="819">
        <v>55786</v>
      </c>
      <c r="N209" s="821">
        <f>AVERAGE(B209:F209)</f>
        <v>62255.8</v>
      </c>
    </row>
    <row r="210" spans="1:14" ht="14.5" x14ac:dyDescent="0.35">
      <c r="A210" s="833" t="s">
        <v>37</v>
      </c>
      <c r="B210" s="819">
        <v>32034</v>
      </c>
      <c r="C210" s="819">
        <v>38086</v>
      </c>
      <c r="D210" s="819">
        <v>42706</v>
      </c>
      <c r="E210" s="819">
        <v>48870</v>
      </c>
      <c r="F210" s="820">
        <v>44783</v>
      </c>
      <c r="G210" s="819">
        <v>58612</v>
      </c>
      <c r="H210" s="819">
        <v>59247</v>
      </c>
      <c r="I210" s="819">
        <v>49882</v>
      </c>
      <c r="J210" s="819">
        <v>42564</v>
      </c>
      <c r="K210" s="819">
        <v>44217</v>
      </c>
      <c r="L210" s="819">
        <v>42911</v>
      </c>
      <c r="M210" s="819">
        <v>40388</v>
      </c>
      <c r="N210" s="821">
        <f>AVERAGE(B210:F210)</f>
        <v>41295.800000000003</v>
      </c>
    </row>
    <row r="211" spans="1:14" ht="14.5" x14ac:dyDescent="0.35">
      <c r="A211" s="833" t="s">
        <v>100</v>
      </c>
      <c r="B211" s="819">
        <v>24425</v>
      </c>
      <c r="C211" s="819">
        <v>32384</v>
      </c>
      <c r="D211" s="819">
        <v>26635</v>
      </c>
      <c r="E211" s="819">
        <v>38487</v>
      </c>
      <c r="F211" s="820">
        <v>41827</v>
      </c>
      <c r="G211" s="819">
        <v>48432</v>
      </c>
      <c r="H211" s="819">
        <v>45807</v>
      </c>
      <c r="I211" s="819">
        <v>47219</v>
      </c>
      <c r="J211" s="819">
        <v>49140</v>
      </c>
      <c r="K211" s="819">
        <v>45889</v>
      </c>
      <c r="L211" s="819">
        <v>42002</v>
      </c>
      <c r="M211" s="819">
        <v>29164</v>
      </c>
      <c r="N211" s="821">
        <f>AVERAGE(B211:F211)</f>
        <v>32751.599999999999</v>
      </c>
    </row>
    <row r="212" spans="1:14" ht="14.5" x14ac:dyDescent="0.35">
      <c r="A212" s="833" t="s">
        <v>88</v>
      </c>
      <c r="B212" s="819">
        <v>71233</v>
      </c>
      <c r="C212" s="819">
        <v>80881</v>
      </c>
      <c r="D212" s="819">
        <v>89693</v>
      </c>
      <c r="E212" s="819">
        <v>115741.16666666666</v>
      </c>
      <c r="F212" s="820">
        <v>92550</v>
      </c>
      <c r="G212" s="819">
        <v>102728</v>
      </c>
      <c r="H212" s="819">
        <v>102029</v>
      </c>
      <c r="I212" s="819">
        <v>73495</v>
      </c>
      <c r="J212" s="819">
        <v>77358</v>
      </c>
      <c r="K212" s="819">
        <v>75185</v>
      </c>
      <c r="L212" s="819">
        <v>62889</v>
      </c>
      <c r="M212" s="819">
        <v>78647</v>
      </c>
      <c r="N212" s="821">
        <f>AVERAGE(B212:F212)</f>
        <v>90019.633333333331</v>
      </c>
    </row>
    <row r="213" spans="1:14" ht="14.5" x14ac:dyDescent="0.35">
      <c r="A213" s="834" t="s">
        <v>101</v>
      </c>
      <c r="B213" s="823">
        <v>175773</v>
      </c>
      <c r="C213" s="823">
        <v>217493</v>
      </c>
      <c r="D213" s="823">
        <v>217161</v>
      </c>
      <c r="E213" s="823">
        <f>SUM(E209:E212)</f>
        <v>278077.16666666663</v>
      </c>
      <c r="F213" s="823">
        <f>SUM(F209:F212)</f>
        <v>243110</v>
      </c>
      <c r="G213" s="823">
        <v>283745</v>
      </c>
      <c r="H213" s="823">
        <v>270859</v>
      </c>
      <c r="I213" s="823">
        <v>232805</v>
      </c>
      <c r="J213" s="823">
        <v>231023</v>
      </c>
      <c r="K213" s="823">
        <v>228218</v>
      </c>
      <c r="L213" s="823">
        <v>198594</v>
      </c>
      <c r="M213" s="823">
        <v>203985</v>
      </c>
      <c r="N213" s="809">
        <f>AVERAGE(B213:F213)</f>
        <v>226322.83333333331</v>
      </c>
    </row>
    <row r="214" spans="1:14" ht="14.5" x14ac:dyDescent="0.35">
      <c r="B214" s="815"/>
      <c r="C214" s="815"/>
      <c r="D214" s="815"/>
      <c r="E214" s="815"/>
      <c r="F214" s="815"/>
      <c r="G214" s="810"/>
      <c r="H214" s="810"/>
      <c r="I214" s="810"/>
      <c r="J214" s="810"/>
      <c r="K214" s="810"/>
      <c r="L214" s="810"/>
      <c r="M214" s="810"/>
      <c r="N214" s="810"/>
    </row>
    <row r="215" spans="1:14" ht="14.5" x14ac:dyDescent="0.35">
      <c r="A215" s="817" t="s">
        <v>102</v>
      </c>
      <c r="B215" s="816" t="s">
        <v>137</v>
      </c>
      <c r="C215" s="816" t="s">
        <v>138</v>
      </c>
      <c r="D215" s="816" t="s">
        <v>139</v>
      </c>
      <c r="E215" s="816" t="s">
        <v>128</v>
      </c>
      <c r="F215" s="817" t="s">
        <v>129</v>
      </c>
      <c r="G215" s="816" t="s">
        <v>130</v>
      </c>
      <c r="H215" s="816" t="s">
        <v>131</v>
      </c>
      <c r="I215" s="816" t="s">
        <v>132</v>
      </c>
      <c r="J215" s="816" t="s">
        <v>133</v>
      </c>
      <c r="K215" s="816" t="s">
        <v>134</v>
      </c>
      <c r="L215" s="816" t="s">
        <v>135</v>
      </c>
      <c r="M215" s="825" t="s">
        <v>136</v>
      </c>
      <c r="N215" s="818" t="s">
        <v>98</v>
      </c>
    </row>
    <row r="216" spans="1:14" ht="14.5" x14ac:dyDescent="0.35">
      <c r="A216" s="833" t="s">
        <v>99</v>
      </c>
      <c r="B216" s="826">
        <v>68029</v>
      </c>
      <c r="C216" s="826">
        <v>59606</v>
      </c>
      <c r="D216" s="826">
        <v>63396</v>
      </c>
      <c r="E216" s="826">
        <v>52819.21</v>
      </c>
      <c r="F216" s="827">
        <v>53324</v>
      </c>
      <c r="G216" s="826">
        <v>61519</v>
      </c>
      <c r="H216" s="826">
        <v>70743</v>
      </c>
      <c r="I216" s="828">
        <v>55027</v>
      </c>
      <c r="J216" s="828">
        <v>54932</v>
      </c>
      <c r="K216" s="828">
        <v>43776</v>
      </c>
      <c r="L216" s="828">
        <v>49810</v>
      </c>
      <c r="M216" s="784">
        <v>75616</v>
      </c>
      <c r="N216" s="829">
        <f>AVERAGE(B216:F216)</f>
        <v>59434.84199999999</v>
      </c>
    </row>
    <row r="217" spans="1:14" ht="14.5" x14ac:dyDescent="0.35">
      <c r="A217" s="833" t="s">
        <v>37</v>
      </c>
      <c r="B217" s="826">
        <v>35147</v>
      </c>
      <c r="C217" s="826">
        <v>37370</v>
      </c>
      <c r="D217" s="826">
        <v>39971</v>
      </c>
      <c r="E217" s="826">
        <v>33459.82</v>
      </c>
      <c r="F217" s="827">
        <v>39860</v>
      </c>
      <c r="G217" s="826">
        <v>41717</v>
      </c>
      <c r="H217" s="826">
        <v>40181</v>
      </c>
      <c r="I217" s="828">
        <v>41079</v>
      </c>
      <c r="J217" s="828">
        <v>39875</v>
      </c>
      <c r="K217" s="828">
        <v>35835</v>
      </c>
      <c r="L217" s="828">
        <v>28946</v>
      </c>
      <c r="M217" s="784">
        <v>43422</v>
      </c>
      <c r="N217" s="829">
        <f>AVERAGE(B217:F217)</f>
        <v>37161.563999999998</v>
      </c>
    </row>
    <row r="218" spans="1:14" ht="14.5" x14ac:dyDescent="0.35">
      <c r="A218" s="833" t="s">
        <v>100</v>
      </c>
      <c r="B218" s="816"/>
      <c r="C218" s="816"/>
      <c r="D218" s="826">
        <v>3428</v>
      </c>
      <c r="E218" s="826">
        <v>13471.49</v>
      </c>
      <c r="F218" s="827">
        <v>12544</v>
      </c>
      <c r="G218" s="826">
        <v>13788</v>
      </c>
      <c r="H218" s="826">
        <v>17451</v>
      </c>
      <c r="I218" s="828">
        <v>20924</v>
      </c>
      <c r="J218" s="828">
        <v>23756</v>
      </c>
      <c r="K218" s="828">
        <v>18015</v>
      </c>
      <c r="L218" s="828">
        <v>15778</v>
      </c>
      <c r="M218" s="825" t="s">
        <v>140</v>
      </c>
      <c r="N218" s="829">
        <f>AVERAGE(B218:F218)</f>
        <v>9814.496666666666</v>
      </c>
    </row>
    <row r="219" spans="1:14" ht="14.5" x14ac:dyDescent="0.35">
      <c r="A219" s="833" t="s">
        <v>88</v>
      </c>
      <c r="B219" s="826">
        <v>41240</v>
      </c>
      <c r="C219" s="826">
        <v>47352</v>
      </c>
      <c r="D219" s="826">
        <v>49038</v>
      </c>
      <c r="E219" s="826">
        <v>21042</v>
      </c>
      <c r="F219" s="827">
        <v>35748</v>
      </c>
      <c r="G219" s="826">
        <v>44347</v>
      </c>
      <c r="H219" s="826">
        <v>72570</v>
      </c>
      <c r="I219" s="828">
        <v>89947</v>
      </c>
      <c r="J219" s="828">
        <v>99078</v>
      </c>
      <c r="K219" s="828">
        <v>75226</v>
      </c>
      <c r="L219" s="828">
        <v>76874</v>
      </c>
      <c r="M219" s="784">
        <v>51000</v>
      </c>
      <c r="N219" s="829">
        <f>AVERAGE(B219:F219)</f>
        <v>38884</v>
      </c>
    </row>
    <row r="220" spans="1:14" ht="14.5" x14ac:dyDescent="0.35">
      <c r="A220" s="834" t="s">
        <v>101</v>
      </c>
      <c r="B220" s="830">
        <f t="shared" ref="B220:G220" si="5">SUM(B216:B219)</f>
        <v>144416</v>
      </c>
      <c r="C220" s="830">
        <f t="shared" si="5"/>
        <v>144328</v>
      </c>
      <c r="D220" s="830">
        <f t="shared" si="5"/>
        <v>155833</v>
      </c>
      <c r="E220" s="830">
        <f t="shared" si="5"/>
        <v>120792.52</v>
      </c>
      <c r="F220" s="830">
        <f t="shared" si="5"/>
        <v>141476</v>
      </c>
      <c r="G220" s="830">
        <f t="shared" si="5"/>
        <v>161371</v>
      </c>
      <c r="H220" s="830">
        <f>SUM(H216:H219)</f>
        <v>200945</v>
      </c>
      <c r="I220" s="823">
        <v>206977</v>
      </c>
      <c r="J220" s="823">
        <v>217641</v>
      </c>
      <c r="K220" s="823">
        <v>172852</v>
      </c>
      <c r="L220" s="823">
        <v>171408</v>
      </c>
      <c r="M220" s="807">
        <v>170038</v>
      </c>
      <c r="N220" s="830">
        <f>AVERAGE(B220:F220)</f>
        <v>141369.10399999999</v>
      </c>
    </row>
    <row r="221" spans="1:14" ht="14.5" x14ac:dyDescent="0.35"/>
    <row r="222" spans="1:14" ht="14.5" x14ac:dyDescent="0.35"/>
    <row r="223" spans="1:14" ht="14.5" x14ac:dyDescent="0.35"/>
    <row r="224" spans="1:14" ht="14.5" x14ac:dyDescent="0.35">
      <c r="A224" s="628"/>
      <c r="B224" s="628"/>
      <c r="C224" s="542" t="s">
        <v>141</v>
      </c>
      <c r="D224" s="542" t="s">
        <v>142</v>
      </c>
      <c r="I224" s="262"/>
      <c r="J224" s="262"/>
      <c r="M224" s="262"/>
    </row>
    <row r="225" spans="1:13" s="580" customFormat="1" ht="14.5" x14ac:dyDescent="0.35">
      <c r="A225" s="192" t="s">
        <v>16</v>
      </c>
      <c r="B225" s="193">
        <v>45689</v>
      </c>
      <c r="C225" s="892">
        <f t="shared" ref="C225:C255" si="6">C4+C43+C79+C117+C156</f>
        <v>6341</v>
      </c>
      <c r="D225" s="893">
        <f>C225</f>
        <v>6341</v>
      </c>
      <c r="I225" s="623"/>
      <c r="K225"/>
      <c r="L225"/>
    </row>
    <row r="226" spans="1:13" ht="14.5" x14ac:dyDescent="0.35">
      <c r="A226" s="192" t="s">
        <v>18</v>
      </c>
      <c r="B226" s="193">
        <v>45690</v>
      </c>
      <c r="C226" s="626">
        <f t="shared" si="6"/>
        <v>0</v>
      </c>
      <c r="D226" s="584">
        <f>C225+C226</f>
        <v>6341</v>
      </c>
      <c r="I226" s="624"/>
    </row>
    <row r="227" spans="1:13" ht="14.5" x14ac:dyDescent="0.35">
      <c r="A227" s="192" t="s">
        <v>20</v>
      </c>
      <c r="B227" s="193">
        <v>45691</v>
      </c>
      <c r="C227" s="626">
        <f t="shared" si="6"/>
        <v>10525</v>
      </c>
      <c r="D227" s="584">
        <f t="shared" ref="D227:D254" si="7">D226+C227</f>
        <v>16866</v>
      </c>
      <c r="I227" s="624"/>
    </row>
    <row r="228" spans="1:13" ht="14.5" x14ac:dyDescent="0.35">
      <c r="A228" s="192" t="s">
        <v>22</v>
      </c>
      <c r="B228" s="193">
        <v>45692</v>
      </c>
      <c r="C228" s="626">
        <f t="shared" si="6"/>
        <v>8634</v>
      </c>
      <c r="D228" s="584">
        <f t="shared" si="7"/>
        <v>25500</v>
      </c>
      <c r="I228" s="624"/>
      <c r="K228" s="554"/>
      <c r="L228" s="555"/>
    </row>
    <row r="229" spans="1:13" ht="14.5" x14ac:dyDescent="0.35">
      <c r="A229" s="192" t="s">
        <v>24</v>
      </c>
      <c r="B229" s="193">
        <v>45693</v>
      </c>
      <c r="C229" s="626">
        <f t="shared" si="6"/>
        <v>9217</v>
      </c>
      <c r="D229" s="584">
        <f t="shared" si="7"/>
        <v>34717</v>
      </c>
      <c r="I229" s="624"/>
    </row>
    <row r="230" spans="1:13" ht="14.5" x14ac:dyDescent="0.35">
      <c r="A230" s="192" t="s">
        <v>10</v>
      </c>
      <c r="B230" s="193">
        <v>45694</v>
      </c>
      <c r="C230" s="626">
        <f t="shared" si="6"/>
        <v>7335</v>
      </c>
      <c r="D230" s="584">
        <f t="shared" si="7"/>
        <v>42052</v>
      </c>
      <c r="I230" s="624"/>
    </row>
    <row r="231" spans="1:13" ht="14.5" x14ac:dyDescent="0.35">
      <c r="A231" s="192" t="s">
        <v>13</v>
      </c>
      <c r="B231" s="193">
        <v>45695</v>
      </c>
      <c r="C231" s="626">
        <f t="shared" si="6"/>
        <v>8694</v>
      </c>
      <c r="D231" s="584">
        <f t="shared" si="7"/>
        <v>50746</v>
      </c>
      <c r="I231" s="624"/>
      <c r="J231" s="554"/>
      <c r="M231" s="554"/>
    </row>
    <row r="232" spans="1:13" ht="14.5" x14ac:dyDescent="0.35">
      <c r="A232" s="192" t="s">
        <v>16</v>
      </c>
      <c r="B232" s="193">
        <v>45696</v>
      </c>
      <c r="C232" s="626">
        <f t="shared" si="6"/>
        <v>8282</v>
      </c>
      <c r="D232" s="584">
        <f t="shared" si="7"/>
        <v>59028</v>
      </c>
      <c r="I232" s="625"/>
    </row>
    <row r="233" spans="1:13" ht="14.5" x14ac:dyDescent="0.35">
      <c r="A233" s="192" t="s">
        <v>18</v>
      </c>
      <c r="B233" s="193">
        <v>45697</v>
      </c>
      <c r="C233" s="626">
        <f t="shared" si="6"/>
        <v>0</v>
      </c>
      <c r="D233" s="584">
        <f t="shared" si="7"/>
        <v>59028</v>
      </c>
      <c r="I233" s="625"/>
    </row>
    <row r="234" spans="1:13" ht="14.5" x14ac:dyDescent="0.35">
      <c r="A234" s="192" t="s">
        <v>20</v>
      </c>
      <c r="B234" s="193">
        <v>45698</v>
      </c>
      <c r="C234" s="626">
        <f t="shared" si="6"/>
        <v>12730</v>
      </c>
      <c r="D234" s="584">
        <f t="shared" si="7"/>
        <v>71758</v>
      </c>
      <c r="I234" s="625"/>
    </row>
    <row r="235" spans="1:13" ht="14.5" x14ac:dyDescent="0.35">
      <c r="A235" s="192" t="s">
        <v>22</v>
      </c>
      <c r="B235" s="193">
        <v>45699</v>
      </c>
      <c r="C235" s="626">
        <f t="shared" si="6"/>
        <v>10739</v>
      </c>
      <c r="D235" s="584">
        <f t="shared" si="7"/>
        <v>82497</v>
      </c>
    </row>
    <row r="236" spans="1:13" ht="14.5" x14ac:dyDescent="0.35">
      <c r="A236" s="192" t="s">
        <v>24</v>
      </c>
      <c r="B236" s="193">
        <v>45700</v>
      </c>
      <c r="C236" s="626">
        <f t="shared" si="6"/>
        <v>6290</v>
      </c>
      <c r="D236" s="584">
        <f t="shared" si="7"/>
        <v>88787</v>
      </c>
      <c r="K236" s="580"/>
      <c r="L236" s="580"/>
    </row>
    <row r="237" spans="1:13" ht="14.5" x14ac:dyDescent="0.35">
      <c r="A237" s="192" t="s">
        <v>10</v>
      </c>
      <c r="B237" s="193">
        <v>45701</v>
      </c>
      <c r="C237" s="626">
        <f t="shared" si="6"/>
        <v>2075</v>
      </c>
      <c r="D237" s="584">
        <f t="shared" si="7"/>
        <v>90862</v>
      </c>
    </row>
    <row r="238" spans="1:13" ht="14.5" x14ac:dyDescent="0.35">
      <c r="A238" s="192" t="s">
        <v>13</v>
      </c>
      <c r="B238" s="193">
        <v>45702</v>
      </c>
      <c r="C238" s="626">
        <f>C17+C56+C92+C130+C169</f>
        <v>0</v>
      </c>
      <c r="D238" s="584">
        <f t="shared" si="7"/>
        <v>90862</v>
      </c>
    </row>
    <row r="239" spans="1:13" s="580" customFormat="1" ht="14.5" x14ac:dyDescent="0.35">
      <c r="A239" s="192" t="s">
        <v>16</v>
      </c>
      <c r="B239" s="193">
        <v>45703</v>
      </c>
      <c r="C239" s="626">
        <f t="shared" si="6"/>
        <v>7126</v>
      </c>
      <c r="D239" s="584">
        <f t="shared" si="7"/>
        <v>97988</v>
      </c>
      <c r="K239"/>
      <c r="L239"/>
    </row>
    <row r="240" spans="1:13" ht="14.5" x14ac:dyDescent="0.35">
      <c r="A240" s="192" t="s">
        <v>18</v>
      </c>
      <c r="B240" s="193">
        <v>45704</v>
      </c>
      <c r="C240" s="626">
        <f t="shared" si="6"/>
        <v>0</v>
      </c>
      <c r="D240" s="584">
        <f t="shared" si="7"/>
        <v>97988</v>
      </c>
    </row>
    <row r="241" spans="1:12" ht="14.5" x14ac:dyDescent="0.35">
      <c r="A241" s="192" t="s">
        <v>20</v>
      </c>
      <c r="B241" s="193">
        <v>45705</v>
      </c>
      <c r="C241" s="626">
        <f t="shared" si="6"/>
        <v>12014</v>
      </c>
      <c r="D241" s="584">
        <f t="shared" si="7"/>
        <v>110002</v>
      </c>
    </row>
    <row r="242" spans="1:12" ht="14.5" x14ac:dyDescent="0.35">
      <c r="A242" s="192" t="s">
        <v>22</v>
      </c>
      <c r="B242" s="193">
        <v>45706</v>
      </c>
      <c r="C242" s="626">
        <f t="shared" si="6"/>
        <v>11462</v>
      </c>
      <c r="D242" s="584">
        <f t="shared" si="7"/>
        <v>121464</v>
      </c>
    </row>
    <row r="243" spans="1:12" ht="14.5" x14ac:dyDescent="0.35">
      <c r="A243" s="192" t="s">
        <v>24</v>
      </c>
      <c r="B243" s="193">
        <v>45707</v>
      </c>
      <c r="C243" s="626">
        <f t="shared" si="6"/>
        <v>10630</v>
      </c>
      <c r="D243" s="584">
        <f t="shared" si="7"/>
        <v>132094</v>
      </c>
      <c r="K243" s="580"/>
      <c r="L243" s="580"/>
    </row>
    <row r="244" spans="1:12" ht="15" customHeight="1" x14ac:dyDescent="0.35">
      <c r="A244" s="192" t="s">
        <v>10</v>
      </c>
      <c r="B244" s="193">
        <v>45708</v>
      </c>
      <c r="C244" s="626">
        <f t="shared" si="6"/>
        <v>6812</v>
      </c>
      <c r="D244" s="584">
        <f t="shared" si="7"/>
        <v>138906</v>
      </c>
    </row>
    <row r="245" spans="1:12" ht="15" customHeight="1" x14ac:dyDescent="0.35">
      <c r="A245" s="192" t="s">
        <v>13</v>
      </c>
      <c r="B245" s="193">
        <v>45709</v>
      </c>
      <c r="C245" s="626">
        <f t="shared" si="6"/>
        <v>8036</v>
      </c>
      <c r="D245" s="584">
        <f t="shared" si="7"/>
        <v>146942</v>
      </c>
    </row>
    <row r="246" spans="1:12" s="580" customFormat="1" ht="15" customHeight="1" x14ac:dyDescent="0.35">
      <c r="A246" s="192" t="s">
        <v>16</v>
      </c>
      <c r="B246" s="193">
        <v>45710</v>
      </c>
      <c r="C246" s="626">
        <f t="shared" si="6"/>
        <v>12232</v>
      </c>
      <c r="D246" s="584">
        <f t="shared" si="7"/>
        <v>159174</v>
      </c>
      <c r="K246"/>
      <c r="L246"/>
    </row>
    <row r="247" spans="1:12" ht="15" customHeight="1" x14ac:dyDescent="0.35">
      <c r="A247" s="192" t="s">
        <v>18</v>
      </c>
      <c r="B247" s="193">
        <v>45711</v>
      </c>
      <c r="C247" s="626">
        <f t="shared" si="6"/>
        <v>0</v>
      </c>
      <c r="D247" s="584">
        <f t="shared" si="7"/>
        <v>159174</v>
      </c>
    </row>
    <row r="248" spans="1:12" ht="15" customHeight="1" x14ac:dyDescent="0.35">
      <c r="A248" s="192" t="s">
        <v>20</v>
      </c>
      <c r="B248" s="193">
        <v>45712</v>
      </c>
      <c r="C248" s="626">
        <f t="shared" si="6"/>
        <v>13170</v>
      </c>
      <c r="D248" s="584">
        <f t="shared" si="7"/>
        <v>172344</v>
      </c>
    </row>
    <row r="249" spans="1:12" ht="15" customHeight="1" x14ac:dyDescent="0.35">
      <c r="A249" s="192" t="s">
        <v>22</v>
      </c>
      <c r="B249" s="193">
        <v>45713</v>
      </c>
      <c r="C249" s="626">
        <f t="shared" si="6"/>
        <v>11933</v>
      </c>
      <c r="D249" s="584">
        <f t="shared" si="7"/>
        <v>184277</v>
      </c>
    </row>
    <row r="250" spans="1:12" ht="15" customHeight="1" x14ac:dyDescent="0.35">
      <c r="A250" s="192" t="s">
        <v>24</v>
      </c>
      <c r="B250" s="193">
        <v>45714</v>
      </c>
      <c r="C250" s="626">
        <f t="shared" si="6"/>
        <v>12193</v>
      </c>
      <c r="D250" s="584">
        <f t="shared" si="7"/>
        <v>196470</v>
      </c>
      <c r="K250" s="580"/>
      <c r="L250" s="580"/>
    </row>
    <row r="251" spans="1:12" ht="15" customHeight="1" x14ac:dyDescent="0.35">
      <c r="A251" s="192" t="s">
        <v>10</v>
      </c>
      <c r="B251" s="193">
        <v>45715</v>
      </c>
      <c r="C251" s="626">
        <f t="shared" si="6"/>
        <v>9625</v>
      </c>
      <c r="D251" s="584">
        <f t="shared" si="7"/>
        <v>206095</v>
      </c>
    </row>
    <row r="252" spans="1:12" ht="15" customHeight="1" x14ac:dyDescent="0.35">
      <c r="A252" s="192" t="s">
        <v>13</v>
      </c>
      <c r="B252" s="193">
        <v>45716</v>
      </c>
      <c r="C252" s="626">
        <f t="shared" si="6"/>
        <v>7532</v>
      </c>
      <c r="D252" s="584">
        <f t="shared" si="7"/>
        <v>213627</v>
      </c>
    </row>
    <row r="253" spans="1:12" s="580" customFormat="1" ht="15" customHeight="1" x14ac:dyDescent="0.35">
      <c r="A253" s="560"/>
      <c r="B253" s="561"/>
      <c r="C253" s="626">
        <f t="shared" si="6"/>
        <v>0</v>
      </c>
      <c r="D253" s="584">
        <f t="shared" si="7"/>
        <v>213627</v>
      </c>
      <c r="K253"/>
      <c r="L253"/>
    </row>
    <row r="254" spans="1:12" ht="15" customHeight="1" x14ac:dyDescent="0.35">
      <c r="A254" s="560"/>
      <c r="B254" s="561"/>
      <c r="C254" s="626">
        <f t="shared" si="6"/>
        <v>0</v>
      </c>
      <c r="D254" s="584">
        <f t="shared" si="7"/>
        <v>213627</v>
      </c>
    </row>
    <row r="255" spans="1:12" ht="15" customHeight="1" x14ac:dyDescent="0.35">
      <c r="A255" s="560"/>
      <c r="B255" s="561"/>
      <c r="C255" s="626">
        <f t="shared" si="6"/>
        <v>0</v>
      </c>
      <c r="D255" s="584">
        <f>D254+C255</f>
        <v>213627</v>
      </c>
    </row>
  </sheetData>
  <mergeCells count="16">
    <mergeCell ref="B1:F1"/>
    <mergeCell ref="B2:B3"/>
    <mergeCell ref="C2:C3"/>
    <mergeCell ref="L4:M4"/>
    <mergeCell ref="B41:B42"/>
    <mergeCell ref="C41:C42"/>
    <mergeCell ref="K117:L117"/>
    <mergeCell ref="A152:B155"/>
    <mergeCell ref="C152:E153"/>
    <mergeCell ref="C154:C155"/>
    <mergeCell ref="K43:L43"/>
    <mergeCell ref="B77:B78"/>
    <mergeCell ref="C77:C78"/>
    <mergeCell ref="K78:L78"/>
    <mergeCell ref="B115:B116"/>
    <mergeCell ref="C115:C116"/>
  </mergeCells>
  <phoneticPr fontId="19" type="noConversion"/>
  <conditionalFormatting sqref="A225:B255">
    <cfRule type="expression" dxfId="106" priority="1">
      <formula>ISODD(ROW())</formula>
    </cfRule>
  </conditionalFormatting>
  <conditionalFormatting sqref="A4:F4 I4:I34 A5:B34">
    <cfRule type="expression" dxfId="105" priority="6">
      <formula>ISODD(ROW())</formula>
    </cfRule>
  </conditionalFormatting>
  <conditionalFormatting sqref="A43:F43 H43:I43 H79:I79 A79:F109 H117:I117">
    <cfRule type="expression" dxfId="104" priority="9">
      <formula>ISEVEN(ROW())</formula>
    </cfRule>
  </conditionalFormatting>
  <conditionalFormatting sqref="A156:F186">
    <cfRule type="expression" dxfId="103" priority="5">
      <formula>ISODD(ROW())</formula>
    </cfRule>
  </conditionalFormatting>
  <conditionalFormatting sqref="A44:I73 G80:I104 G106:I109 A117:F147 G118:I142 G144:I147">
    <cfRule type="expression" dxfId="102" priority="7">
      <formula>ISEVEN(ROW())</formula>
    </cfRule>
  </conditionalFormatting>
  <conditionalFormatting sqref="C5:F5">
    <cfRule type="expression" dxfId="101" priority="8">
      <formula>ISEVEN(ROW())</formula>
    </cfRule>
  </conditionalFormatting>
  <conditionalFormatting sqref="C6:H21 C22:G22 C23:H34">
    <cfRule type="expression" dxfId="100" priority="2">
      <formula>ISODD(ROW())</formula>
    </cfRule>
  </conditionalFormatting>
  <conditionalFormatting sqref="G5">
    <cfRule type="expression" dxfId="99" priority="3">
      <formula>ISODD(ROW())</formula>
    </cfRule>
  </conditionalFormatting>
  <conditionalFormatting sqref="H4:H5">
    <cfRule type="expression" dxfId="98" priority="4">
      <formula>ISODD(ROW())</formula>
    </cfRule>
  </conditionalFormatting>
  <conditionalFormatting sqref="M2 N3:N16 N18:N21 N27:N32 N34:N35 K37:K39 N41:N43 N49:N60 M55:M59 M65:M68 N65:N74 N77:N110 M111:M153 H152:H153 L154:L170 G154:G186">
    <cfRule type="cellIs" dxfId="97" priority="10" operator="greaterThan">
      <formula>0</formula>
    </cfRule>
    <cfRule type="cellIs" dxfId="96" priority="1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B456-3826-42D7-AE1A-2DEDAD4C529D}">
  <sheetPr>
    <tabColor theme="8"/>
  </sheetPr>
  <dimension ref="A1:O255"/>
  <sheetViews>
    <sheetView topLeftCell="A168" workbookViewId="0">
      <selection activeCell="E202" sqref="E202"/>
    </sheetView>
  </sheetViews>
  <sheetFormatPr defaultColWidth="9.1796875" defaultRowHeight="15" customHeight="1" x14ac:dyDescent="0.35"/>
  <cols>
    <col min="1" max="1" width="18.453125" customWidth="1"/>
    <col min="2" max="2" width="21" customWidth="1"/>
    <col min="3" max="3" width="16.453125" customWidth="1"/>
    <col min="4" max="4" width="16.1796875" customWidth="1"/>
    <col min="5" max="5" width="18.81640625" customWidth="1"/>
    <col min="6" max="6" width="19.54296875" customWidth="1"/>
    <col min="7" max="7" width="16.453125" customWidth="1"/>
    <col min="8" max="8" width="18.1796875" customWidth="1"/>
    <col min="9" max="9" width="16.26953125" bestFit="1" customWidth="1"/>
    <col min="10" max="10" width="15.81640625" bestFit="1" customWidth="1"/>
    <col min="11" max="11" width="17.81640625" customWidth="1"/>
    <col min="12" max="12" width="17.54296875" bestFit="1" customWidth="1"/>
    <col min="13" max="13" width="17.453125" customWidth="1"/>
    <col min="14" max="14" width="18.453125" customWidth="1"/>
    <col min="15" max="15" width="14.81640625" customWidth="1"/>
    <col min="16" max="16" width="12.54296875" customWidth="1"/>
    <col min="17" max="17" width="15.1796875" customWidth="1"/>
  </cols>
  <sheetData>
    <row r="1" spans="1:15" ht="17.5" customHeight="1" thickBot="1" x14ac:dyDescent="0.5">
      <c r="A1" s="262"/>
      <c r="B1" s="930" t="s">
        <v>0</v>
      </c>
      <c r="C1" s="930"/>
      <c r="D1" s="930"/>
      <c r="E1" s="930"/>
      <c r="F1" s="930"/>
      <c r="G1" s="262"/>
      <c r="H1" s="262"/>
      <c r="I1" s="262"/>
      <c r="J1" s="262"/>
      <c r="K1" s="262"/>
      <c r="L1" s="262"/>
      <c r="M1" s="262"/>
    </row>
    <row r="2" spans="1:15" ht="15.65" customHeight="1" thickBot="1" x14ac:dyDescent="0.45">
      <c r="A2" s="348"/>
      <c r="B2" s="926" t="s">
        <v>1</v>
      </c>
      <c r="C2" s="928" t="s">
        <v>0</v>
      </c>
      <c r="D2" s="298" t="s">
        <v>2</v>
      </c>
      <c r="E2" s="184" t="s">
        <v>3</v>
      </c>
      <c r="F2" s="772" t="s">
        <v>4</v>
      </c>
      <c r="G2" s="774" t="s">
        <v>143</v>
      </c>
      <c r="H2" s="186" t="s">
        <v>6</v>
      </c>
      <c r="I2" s="775" t="s">
        <v>7</v>
      </c>
      <c r="K2" s="349"/>
      <c r="L2" s="349"/>
      <c r="M2" s="349"/>
      <c r="N2" s="349"/>
    </row>
    <row r="3" spans="1:15" ht="30.75" customHeight="1" x14ac:dyDescent="0.4">
      <c r="A3" s="497"/>
      <c r="B3" s="927"/>
      <c r="C3" s="929"/>
      <c r="D3" s="299" t="s">
        <v>0</v>
      </c>
      <c r="E3" s="498" t="s">
        <v>0</v>
      </c>
      <c r="F3" s="772" t="s">
        <v>0</v>
      </c>
      <c r="G3" s="664" t="s">
        <v>0</v>
      </c>
      <c r="H3" s="665" t="s">
        <v>8</v>
      </c>
      <c r="I3" s="666" t="s">
        <v>9</v>
      </c>
      <c r="K3" s="262"/>
      <c r="L3" s="262"/>
      <c r="M3" s="262"/>
      <c r="N3" s="262"/>
      <c r="O3" s="262"/>
    </row>
    <row r="4" spans="1:15" ht="14.5" x14ac:dyDescent="0.35">
      <c r="A4" s="192" t="s">
        <v>24</v>
      </c>
      <c r="B4" s="193">
        <v>45658</v>
      </c>
      <c r="C4" s="194"/>
      <c r="D4" s="195"/>
      <c r="E4" s="286"/>
      <c r="F4" s="673"/>
      <c r="G4" s="858"/>
      <c r="H4" s="843"/>
      <c r="I4" s="733"/>
      <c r="K4" s="262"/>
      <c r="L4" s="923" t="s">
        <v>12</v>
      </c>
      <c r="M4" s="923"/>
      <c r="N4" s="262"/>
      <c r="O4" s="262"/>
    </row>
    <row r="5" spans="1:15" ht="14.5" x14ac:dyDescent="0.35">
      <c r="A5" s="192" t="s">
        <v>10</v>
      </c>
      <c r="B5" s="193">
        <v>45659</v>
      </c>
      <c r="C5" s="200">
        <v>2517</v>
      </c>
      <c r="D5" s="201">
        <v>119</v>
      </c>
      <c r="E5" s="557">
        <v>0</v>
      </c>
      <c r="F5" s="859">
        <v>2</v>
      </c>
      <c r="G5" s="674">
        <v>2</v>
      </c>
      <c r="H5" s="736" t="s">
        <v>418</v>
      </c>
      <c r="I5" s="734">
        <v>19</v>
      </c>
      <c r="K5" s="262"/>
      <c r="L5" s="503" t="s">
        <v>15</v>
      </c>
      <c r="M5" s="365">
        <v>65000</v>
      </c>
      <c r="N5" s="262"/>
      <c r="O5" s="262"/>
    </row>
    <row r="6" spans="1:15" ht="14.5" x14ac:dyDescent="0.35">
      <c r="A6" s="192" t="s">
        <v>13</v>
      </c>
      <c r="B6" s="193">
        <v>45660</v>
      </c>
      <c r="C6" s="205">
        <v>1622</v>
      </c>
      <c r="D6" s="206">
        <v>30</v>
      </c>
      <c r="E6" s="612">
        <v>0</v>
      </c>
      <c r="F6" s="619">
        <v>2</v>
      </c>
      <c r="G6" s="686">
        <v>1</v>
      </c>
      <c r="H6" s="844" t="s">
        <v>419</v>
      </c>
      <c r="I6" s="735">
        <v>15</v>
      </c>
      <c r="K6" s="262"/>
      <c r="L6" s="504" t="s">
        <v>17</v>
      </c>
      <c r="M6" s="371">
        <v>2000</v>
      </c>
      <c r="N6" s="262"/>
      <c r="O6" s="262"/>
    </row>
    <row r="7" spans="1:15" ht="14.5" x14ac:dyDescent="0.35">
      <c r="A7" s="192" t="s">
        <v>16</v>
      </c>
      <c r="B7" s="193">
        <v>45661</v>
      </c>
      <c r="C7" s="209">
        <v>1672</v>
      </c>
      <c r="D7" s="210">
        <v>141</v>
      </c>
      <c r="E7" s="287">
        <v>0</v>
      </c>
      <c r="F7" s="243">
        <v>1</v>
      </c>
      <c r="G7" s="686">
        <v>0</v>
      </c>
      <c r="H7" s="844" t="s">
        <v>420</v>
      </c>
      <c r="I7" s="735">
        <v>16</v>
      </c>
      <c r="K7" s="262"/>
      <c r="L7" s="515" t="s">
        <v>19</v>
      </c>
      <c r="M7" s="376">
        <v>20</v>
      </c>
      <c r="N7" s="262"/>
      <c r="O7" s="262"/>
    </row>
    <row r="8" spans="1:15" ht="14.5" x14ac:dyDescent="0.35">
      <c r="A8" s="192" t="s">
        <v>18</v>
      </c>
      <c r="B8" s="193">
        <v>45662</v>
      </c>
      <c r="C8" s="205"/>
      <c r="D8" s="206"/>
      <c r="E8" s="612"/>
      <c r="F8" s="670"/>
      <c r="G8" s="675"/>
      <c r="H8" s="844"/>
      <c r="I8" s="735"/>
      <c r="K8" s="262"/>
      <c r="L8" s="836"/>
      <c r="M8" s="837"/>
      <c r="N8" s="262"/>
      <c r="O8" s="262"/>
    </row>
    <row r="9" spans="1:15" ht="14.5" x14ac:dyDescent="0.35">
      <c r="A9" s="192" t="s">
        <v>20</v>
      </c>
      <c r="B9" s="193">
        <v>45663</v>
      </c>
      <c r="C9" s="212">
        <v>4019</v>
      </c>
      <c r="D9" s="213">
        <v>78.849999999999994</v>
      </c>
      <c r="E9" s="611">
        <v>0</v>
      </c>
      <c r="F9" s="672">
        <v>0</v>
      </c>
      <c r="G9" s="676">
        <v>4</v>
      </c>
      <c r="H9" s="845" t="s">
        <v>421</v>
      </c>
      <c r="I9" s="734">
        <v>22</v>
      </c>
      <c r="K9" s="262"/>
      <c r="N9" s="262"/>
      <c r="O9" s="262"/>
    </row>
    <row r="10" spans="1:15" ht="14.5" x14ac:dyDescent="0.35">
      <c r="A10" s="192" t="s">
        <v>22</v>
      </c>
      <c r="B10" s="193">
        <v>45664</v>
      </c>
      <c r="C10" s="214">
        <v>2363</v>
      </c>
      <c r="D10" s="195">
        <v>25</v>
      </c>
      <c r="E10" s="615">
        <v>0</v>
      </c>
      <c r="F10" s="246">
        <v>0</v>
      </c>
      <c r="G10" s="254">
        <v>0</v>
      </c>
      <c r="H10" s="736" t="s">
        <v>422</v>
      </c>
      <c r="I10" s="736">
        <v>25</v>
      </c>
      <c r="K10" s="262"/>
      <c r="L10" s="262"/>
      <c r="M10" s="262"/>
      <c r="N10" s="262"/>
      <c r="O10" s="262"/>
    </row>
    <row r="11" spans="1:15" ht="14.5" x14ac:dyDescent="0.35">
      <c r="A11" s="192" t="s">
        <v>24</v>
      </c>
      <c r="B11" s="193">
        <v>45665</v>
      </c>
      <c r="C11" s="217">
        <v>3265</v>
      </c>
      <c r="D11" s="218">
        <v>0</v>
      </c>
      <c r="E11" s="691">
        <v>0</v>
      </c>
      <c r="F11" s="730">
        <v>1</v>
      </c>
      <c r="G11" s="729">
        <v>1</v>
      </c>
      <c r="H11" s="737" t="s">
        <v>423</v>
      </c>
      <c r="I11" s="737">
        <v>11</v>
      </c>
      <c r="K11" s="262"/>
      <c r="L11" s="262"/>
      <c r="M11" s="262"/>
      <c r="N11" s="262"/>
      <c r="O11" s="262"/>
    </row>
    <row r="12" spans="1:15" ht="14.5" x14ac:dyDescent="0.35">
      <c r="A12" s="192" t="s">
        <v>10</v>
      </c>
      <c r="B12" s="193">
        <v>45666</v>
      </c>
      <c r="C12" s="221">
        <v>1589</v>
      </c>
      <c r="D12" s="222">
        <v>25</v>
      </c>
      <c r="E12" s="692">
        <v>0</v>
      </c>
      <c r="F12" s="731">
        <v>2</v>
      </c>
      <c r="G12" s="732">
        <v>4</v>
      </c>
      <c r="H12" s="738" t="s">
        <v>424</v>
      </c>
      <c r="I12" s="738">
        <v>19</v>
      </c>
      <c r="K12" s="262"/>
      <c r="L12" s="262"/>
      <c r="M12" s="262"/>
      <c r="N12" s="262"/>
      <c r="O12" s="262"/>
    </row>
    <row r="13" spans="1:15" ht="14.5" x14ac:dyDescent="0.35">
      <c r="A13" s="192" t="s">
        <v>13</v>
      </c>
      <c r="B13" s="193">
        <v>45667</v>
      </c>
      <c r="C13" s="225">
        <v>2806</v>
      </c>
      <c r="D13" s="226">
        <v>0</v>
      </c>
      <c r="E13" s="227">
        <v>0</v>
      </c>
      <c r="F13" s="227">
        <v>1</v>
      </c>
      <c r="G13" s="679">
        <v>0</v>
      </c>
      <c r="H13" s="739" t="s">
        <v>425</v>
      </c>
      <c r="I13" s="739">
        <v>20</v>
      </c>
      <c r="K13" s="262"/>
      <c r="L13" s="262"/>
      <c r="M13" s="262"/>
      <c r="N13" s="262"/>
      <c r="O13" s="262"/>
    </row>
    <row r="14" spans="1:15" ht="14.5" x14ac:dyDescent="0.35">
      <c r="A14" s="192" t="s">
        <v>16</v>
      </c>
      <c r="B14" s="193">
        <v>45668</v>
      </c>
      <c r="C14" s="229">
        <v>2895</v>
      </c>
      <c r="D14" s="230">
        <v>0</v>
      </c>
      <c r="E14" s="231">
        <v>0</v>
      </c>
      <c r="F14" s="231">
        <v>1</v>
      </c>
      <c r="G14" s="680">
        <v>2</v>
      </c>
      <c r="H14" s="740" t="s">
        <v>426</v>
      </c>
      <c r="I14" s="740">
        <v>20</v>
      </c>
      <c r="K14" s="262"/>
      <c r="L14" s="262"/>
      <c r="M14" s="262"/>
      <c r="N14" s="262"/>
      <c r="O14" s="262"/>
    </row>
    <row r="15" spans="1:15" ht="14.5" x14ac:dyDescent="0.35">
      <c r="A15" s="192" t="s">
        <v>18</v>
      </c>
      <c r="B15" s="193">
        <v>45669</v>
      </c>
      <c r="C15" s="225"/>
      <c r="D15" s="226"/>
      <c r="E15" s="227"/>
      <c r="F15" s="227"/>
      <c r="G15" s="679"/>
      <c r="H15" s="846"/>
      <c r="I15" s="739"/>
      <c r="K15" s="262"/>
      <c r="L15" s="262"/>
      <c r="M15" s="262"/>
      <c r="N15" s="262"/>
      <c r="O15" s="262"/>
    </row>
    <row r="16" spans="1:15" ht="14.5" x14ac:dyDescent="0.35">
      <c r="A16" s="192" t="s">
        <v>20</v>
      </c>
      <c r="B16" s="193">
        <v>45670</v>
      </c>
      <c r="C16" s="233">
        <v>1120</v>
      </c>
      <c r="D16" s="234">
        <v>87</v>
      </c>
      <c r="E16" s="235">
        <v>0</v>
      </c>
      <c r="F16" s="235">
        <v>0</v>
      </c>
      <c r="G16" s="681">
        <v>3</v>
      </c>
      <c r="H16" s="847" t="s">
        <v>427</v>
      </c>
      <c r="I16" s="741">
        <v>17</v>
      </c>
      <c r="K16" s="262"/>
      <c r="L16" s="262"/>
      <c r="M16" s="262"/>
      <c r="N16" s="262"/>
      <c r="O16" s="262"/>
    </row>
    <row r="17" spans="1:15" ht="14.5" x14ac:dyDescent="0.35">
      <c r="A17" s="192" t="s">
        <v>22</v>
      </c>
      <c r="B17" s="193">
        <v>45671</v>
      </c>
      <c r="C17" s="225">
        <v>1667</v>
      </c>
      <c r="D17" s="226">
        <v>54</v>
      </c>
      <c r="E17" s="227">
        <v>0</v>
      </c>
      <c r="F17" s="227">
        <v>0</v>
      </c>
      <c r="G17" s="679">
        <v>3</v>
      </c>
      <c r="H17" s="846" t="s">
        <v>428</v>
      </c>
      <c r="I17" s="739">
        <v>17</v>
      </c>
      <c r="K17" s="262"/>
      <c r="L17" s="262"/>
      <c r="M17" s="262"/>
      <c r="N17" s="262"/>
      <c r="O17" s="262"/>
    </row>
    <row r="18" spans="1:15" ht="14.5" x14ac:dyDescent="0.35">
      <c r="A18" s="192" t="s">
        <v>24</v>
      </c>
      <c r="B18" s="193">
        <v>45672</v>
      </c>
      <c r="C18" s="233">
        <v>2387</v>
      </c>
      <c r="D18" s="195">
        <v>87</v>
      </c>
      <c r="E18" s="215">
        <v>0</v>
      </c>
      <c r="F18" s="215">
        <v>0</v>
      </c>
      <c r="G18" s="682">
        <v>2</v>
      </c>
      <c r="H18" s="848" t="s">
        <v>429</v>
      </c>
      <c r="I18" s="736">
        <v>11</v>
      </c>
      <c r="K18" s="262"/>
      <c r="L18" s="262"/>
      <c r="M18" s="262"/>
      <c r="N18" s="262"/>
      <c r="O18" s="262"/>
    </row>
    <row r="19" spans="1:15" ht="14.5" x14ac:dyDescent="0.35">
      <c r="A19" s="192" t="s">
        <v>10</v>
      </c>
      <c r="B19" s="193">
        <v>45673</v>
      </c>
      <c r="C19" s="209">
        <v>2199</v>
      </c>
      <c r="D19" s="213">
        <v>29</v>
      </c>
      <c r="E19" s="203">
        <v>0</v>
      </c>
      <c r="F19" s="203">
        <v>0</v>
      </c>
      <c r="G19" s="676">
        <v>1</v>
      </c>
      <c r="H19" s="845" t="s">
        <v>430</v>
      </c>
      <c r="I19" s="734">
        <v>8</v>
      </c>
      <c r="K19" s="262"/>
      <c r="L19" s="262"/>
      <c r="M19" s="262"/>
      <c r="N19" s="262"/>
      <c r="O19" s="262"/>
    </row>
    <row r="20" spans="1:15" ht="14.5" x14ac:dyDescent="0.35">
      <c r="A20" s="192" t="s">
        <v>13</v>
      </c>
      <c r="B20" s="193">
        <v>45674</v>
      </c>
      <c r="C20" s="233">
        <v>2302</v>
      </c>
      <c r="D20" s="234">
        <v>29</v>
      </c>
      <c r="E20" s="215">
        <v>0</v>
      </c>
      <c r="F20" s="215">
        <v>2</v>
      </c>
      <c r="G20" s="682">
        <v>1</v>
      </c>
      <c r="H20" s="848" t="s">
        <v>431</v>
      </c>
      <c r="I20" s="736">
        <v>19</v>
      </c>
      <c r="K20" s="262"/>
      <c r="L20" s="262"/>
      <c r="M20" s="262"/>
      <c r="N20" s="262"/>
      <c r="O20" s="262"/>
    </row>
    <row r="21" spans="1:15" ht="14.5" x14ac:dyDescent="0.35">
      <c r="A21" s="192" t="s">
        <v>16</v>
      </c>
      <c r="B21" s="193">
        <v>45675</v>
      </c>
      <c r="C21" s="237">
        <v>2813</v>
      </c>
      <c r="D21" s="238">
        <v>60</v>
      </c>
      <c r="E21" s="239">
        <v>0</v>
      </c>
      <c r="F21" s="239">
        <v>0</v>
      </c>
      <c r="G21" s="683">
        <v>2</v>
      </c>
      <c r="H21" s="849" t="s">
        <v>432</v>
      </c>
      <c r="I21" s="742">
        <v>19</v>
      </c>
      <c r="K21" s="262"/>
      <c r="L21" s="262"/>
      <c r="M21" s="262"/>
      <c r="N21" s="262"/>
      <c r="O21" s="262"/>
    </row>
    <row r="22" spans="1:15" ht="14.5" x14ac:dyDescent="0.35">
      <c r="A22" s="192" t="s">
        <v>18</v>
      </c>
      <c r="B22" s="193">
        <v>45676</v>
      </c>
      <c r="C22" s="214"/>
      <c r="D22" s="195"/>
      <c r="E22" s="215"/>
      <c r="F22" s="215"/>
      <c r="G22" s="682"/>
      <c r="I22" s="736"/>
      <c r="K22" s="262"/>
      <c r="L22" s="262"/>
      <c r="M22" s="262"/>
      <c r="N22" s="262"/>
      <c r="O22" s="262"/>
    </row>
    <row r="23" spans="1:15" ht="14.5" x14ac:dyDescent="0.35">
      <c r="A23" s="192" t="s">
        <v>20</v>
      </c>
      <c r="B23" s="193">
        <v>45677</v>
      </c>
      <c r="C23" s="237">
        <v>3893</v>
      </c>
      <c r="D23" s="238">
        <v>118</v>
      </c>
      <c r="E23" s="239">
        <v>0</v>
      </c>
      <c r="F23" s="239">
        <v>0</v>
      </c>
      <c r="G23" s="683">
        <v>5</v>
      </c>
      <c r="H23" s="848" t="s">
        <v>433</v>
      </c>
      <c r="I23" s="742">
        <v>19</v>
      </c>
      <c r="K23" s="262"/>
      <c r="L23" s="262"/>
      <c r="M23" s="262"/>
      <c r="N23" s="262"/>
      <c r="O23" s="262"/>
    </row>
    <row r="24" spans="1:15" ht="14.5" x14ac:dyDescent="0.35">
      <c r="A24" s="192" t="s">
        <v>22</v>
      </c>
      <c r="B24" s="193">
        <v>45678</v>
      </c>
      <c r="C24" s="205">
        <v>1765</v>
      </c>
      <c r="D24" s="206">
        <v>88</v>
      </c>
      <c r="E24" s="207">
        <v>0</v>
      </c>
      <c r="F24" s="207">
        <v>0</v>
      </c>
      <c r="G24" s="675">
        <v>3</v>
      </c>
      <c r="H24" s="844" t="s">
        <v>434</v>
      </c>
      <c r="I24" s="735">
        <v>11</v>
      </c>
      <c r="K24" s="262"/>
      <c r="L24" s="262"/>
      <c r="M24" s="262"/>
      <c r="N24" s="262"/>
      <c r="O24" s="262"/>
    </row>
    <row r="25" spans="1:15" ht="14.5" x14ac:dyDescent="0.35">
      <c r="A25" s="192" t="s">
        <v>24</v>
      </c>
      <c r="B25" s="193">
        <v>45679</v>
      </c>
      <c r="C25" s="209">
        <v>2974</v>
      </c>
      <c r="D25" s="210">
        <v>29</v>
      </c>
      <c r="E25" s="211">
        <v>0</v>
      </c>
      <c r="F25" s="211">
        <v>0</v>
      </c>
      <c r="G25" s="684">
        <v>2</v>
      </c>
      <c r="H25" s="850" t="s">
        <v>435</v>
      </c>
      <c r="I25" s="743">
        <v>12</v>
      </c>
      <c r="K25" s="262"/>
      <c r="L25" s="262"/>
      <c r="M25" s="262"/>
      <c r="N25" s="262"/>
      <c r="O25" s="262"/>
    </row>
    <row r="26" spans="1:15" ht="14.5" x14ac:dyDescent="0.35">
      <c r="A26" s="192" t="s">
        <v>10</v>
      </c>
      <c r="B26" s="193">
        <v>45680</v>
      </c>
      <c r="C26" s="233">
        <v>1740</v>
      </c>
      <c r="D26" s="234">
        <v>58</v>
      </c>
      <c r="E26" s="235">
        <v>0</v>
      </c>
      <c r="F26" s="235">
        <v>1</v>
      </c>
      <c r="G26" s="681">
        <v>5</v>
      </c>
      <c r="H26" s="847" t="s">
        <v>436</v>
      </c>
      <c r="I26" s="741">
        <v>12</v>
      </c>
      <c r="K26" s="262"/>
      <c r="L26" s="262"/>
      <c r="M26" s="262"/>
      <c r="N26" s="262"/>
      <c r="O26" s="262"/>
    </row>
    <row r="27" spans="1:15" ht="14.5" x14ac:dyDescent="0.35">
      <c r="A27" s="192" t="s">
        <v>13</v>
      </c>
      <c r="B27" s="193">
        <v>45681</v>
      </c>
      <c r="C27" s="237">
        <v>1194</v>
      </c>
      <c r="D27" s="238">
        <v>134</v>
      </c>
      <c r="E27" s="239">
        <v>0</v>
      </c>
      <c r="F27" s="239">
        <v>0</v>
      </c>
      <c r="G27" s="683">
        <v>3</v>
      </c>
      <c r="H27" s="849" t="s">
        <v>437</v>
      </c>
      <c r="I27" s="742">
        <v>17</v>
      </c>
      <c r="K27" s="262"/>
      <c r="L27" s="262"/>
      <c r="M27" s="262"/>
      <c r="N27" s="262"/>
      <c r="O27" s="262"/>
    </row>
    <row r="28" spans="1:15" ht="14.5" x14ac:dyDescent="0.35">
      <c r="A28" s="192" t="s">
        <v>16</v>
      </c>
      <c r="B28" s="193">
        <v>45682</v>
      </c>
      <c r="C28" s="233">
        <v>2968</v>
      </c>
      <c r="D28" s="234">
        <v>0</v>
      </c>
      <c r="E28" s="235">
        <v>0</v>
      </c>
      <c r="F28" s="235">
        <v>1</v>
      </c>
      <c r="G28" s="681">
        <v>3</v>
      </c>
      <c r="H28" s="847" t="s">
        <v>438</v>
      </c>
      <c r="I28" s="741">
        <v>15</v>
      </c>
      <c r="K28" s="262"/>
      <c r="L28" s="262"/>
      <c r="M28" s="262"/>
      <c r="N28" s="262"/>
      <c r="O28" s="262"/>
    </row>
    <row r="29" spans="1:15" ht="14.5" x14ac:dyDescent="0.35">
      <c r="A29" s="192" t="s">
        <v>18</v>
      </c>
      <c r="B29" s="193">
        <v>45683</v>
      </c>
      <c r="C29" s="209"/>
      <c r="D29" s="242"/>
      <c r="E29" s="243"/>
      <c r="F29" s="244"/>
      <c r="G29" s="684"/>
      <c r="H29" s="850"/>
      <c r="I29" s="743"/>
      <c r="K29" s="262"/>
      <c r="L29" s="262"/>
      <c r="M29" s="262"/>
      <c r="N29" s="262"/>
      <c r="O29" s="262"/>
    </row>
    <row r="30" spans="1:15" ht="14.5" x14ac:dyDescent="0.35">
      <c r="A30" s="192" t="s">
        <v>20</v>
      </c>
      <c r="B30" s="193">
        <v>45684</v>
      </c>
      <c r="C30" s="214">
        <v>3453</v>
      </c>
      <c r="D30" s="245">
        <v>59</v>
      </c>
      <c r="E30" s="246">
        <v>0</v>
      </c>
      <c r="F30" s="247">
        <v>0</v>
      </c>
      <c r="G30" s="246">
        <v>5</v>
      </c>
      <c r="H30" s="848" t="s">
        <v>439</v>
      </c>
      <c r="I30" s="736">
        <v>25</v>
      </c>
      <c r="K30" s="262"/>
      <c r="L30" s="262"/>
      <c r="M30" s="508"/>
      <c r="N30" s="262"/>
      <c r="O30" s="262"/>
    </row>
    <row r="31" spans="1:15" ht="14.5" x14ac:dyDescent="0.35">
      <c r="A31" s="192" t="s">
        <v>22</v>
      </c>
      <c r="B31" s="193">
        <v>45685</v>
      </c>
      <c r="C31" s="214">
        <v>1870</v>
      </c>
      <c r="D31" s="249">
        <v>58</v>
      </c>
      <c r="E31" s="246">
        <v>0</v>
      </c>
      <c r="F31" s="247">
        <v>1</v>
      </c>
      <c r="G31" s="682">
        <v>1</v>
      </c>
      <c r="H31" s="848" t="s">
        <v>440</v>
      </c>
      <c r="I31" s="736">
        <v>11</v>
      </c>
      <c r="K31" s="262"/>
      <c r="L31" s="262"/>
      <c r="M31" s="508"/>
      <c r="N31" s="262"/>
      <c r="O31" s="262"/>
    </row>
    <row r="32" spans="1:15" ht="14.5" x14ac:dyDescent="0.35">
      <c r="A32" s="192" t="s">
        <v>24</v>
      </c>
      <c r="B32" s="193">
        <v>45686</v>
      </c>
      <c r="C32" s="214">
        <v>1151</v>
      </c>
      <c r="D32" s="249">
        <v>25</v>
      </c>
      <c r="E32" s="246">
        <v>0</v>
      </c>
      <c r="F32" s="247">
        <v>1</v>
      </c>
      <c r="G32" s="682">
        <v>1</v>
      </c>
      <c r="H32" s="848" t="s">
        <v>441</v>
      </c>
      <c r="I32" s="736">
        <v>11</v>
      </c>
      <c r="K32" s="262"/>
      <c r="L32" s="262"/>
      <c r="M32" s="508"/>
      <c r="N32" s="262"/>
      <c r="O32" s="262"/>
    </row>
    <row r="33" spans="1:15" ht="14.5" x14ac:dyDescent="0.35">
      <c r="A33" s="192" t="s">
        <v>10</v>
      </c>
      <c r="B33" s="193">
        <v>45687</v>
      </c>
      <c r="C33" s="252">
        <v>1224</v>
      </c>
      <c r="D33" s="253">
        <v>0</v>
      </c>
      <c r="E33" s="246">
        <v>0</v>
      </c>
      <c r="F33" s="254">
        <v>1</v>
      </c>
      <c r="G33" s="682">
        <v>1</v>
      </c>
      <c r="H33" s="848" t="s">
        <v>442</v>
      </c>
      <c r="I33" s="736">
        <v>11</v>
      </c>
      <c r="K33" s="262"/>
      <c r="L33" s="262"/>
      <c r="M33" s="262"/>
      <c r="N33" s="262"/>
      <c r="O33" s="262"/>
    </row>
    <row r="34" spans="1:15" thickBot="1" x14ac:dyDescent="0.4">
      <c r="A34" s="192" t="s">
        <v>13</v>
      </c>
      <c r="B34" s="193">
        <v>45688</v>
      </c>
      <c r="C34" s="252">
        <v>4741</v>
      </c>
      <c r="D34" s="252">
        <v>58</v>
      </c>
      <c r="E34" s="246">
        <v>0</v>
      </c>
      <c r="F34" s="246">
        <v>0</v>
      </c>
      <c r="G34" s="685">
        <v>3</v>
      </c>
      <c r="H34" s="848" t="s">
        <v>443</v>
      </c>
      <c r="I34" s="736">
        <v>16</v>
      </c>
      <c r="K34" s="262"/>
      <c r="L34" s="262"/>
      <c r="M34" s="508"/>
      <c r="N34" s="262"/>
      <c r="O34" s="262"/>
    </row>
    <row r="35" spans="1:15" thickBot="1" x14ac:dyDescent="0.4">
      <c r="A35" s="257"/>
      <c r="B35" s="651"/>
      <c r="C35" s="653">
        <f t="shared" ref="C35:F35" si="0">SUM(C4:C34)</f>
        <v>62209</v>
      </c>
      <c r="D35" s="654">
        <f t="shared" si="0"/>
        <v>1391.85</v>
      </c>
      <c r="E35" s="655">
        <f t="shared" si="0"/>
        <v>0</v>
      </c>
      <c r="F35" s="655">
        <f t="shared" si="0"/>
        <v>17</v>
      </c>
      <c r="G35" s="656">
        <f>SUM(G4:G34)</f>
        <v>58</v>
      </c>
      <c r="H35" s="851"/>
      <c r="I35" s="658"/>
      <c r="K35" s="262"/>
      <c r="L35" s="262"/>
      <c r="M35" s="262"/>
      <c r="N35" s="262"/>
      <c r="O35" s="262"/>
    </row>
    <row r="36" spans="1:15" ht="14.5" x14ac:dyDescent="0.35">
      <c r="A36" s="262"/>
      <c r="B36" s="474"/>
      <c r="C36" s="509"/>
      <c r="D36" s="510"/>
      <c r="E36" s="475"/>
      <c r="F36" s="652"/>
      <c r="G36" s="262"/>
      <c r="H36" s="262"/>
      <c r="I36" s="262"/>
      <c r="J36" s="262"/>
      <c r="K36" s="262"/>
      <c r="L36" s="262"/>
      <c r="M36" s="262"/>
    </row>
    <row r="37" spans="1:15" ht="14.5" x14ac:dyDescent="0.35">
      <c r="A37" s="262"/>
      <c r="B37" s="474"/>
      <c r="C37" s="508"/>
      <c r="D37" s="508"/>
      <c r="E37" s="475"/>
      <c r="F37" s="511"/>
      <c r="G37" s="262"/>
      <c r="H37" s="262"/>
      <c r="I37" s="262"/>
      <c r="J37" s="262"/>
      <c r="K37" s="262"/>
      <c r="L37" s="262"/>
      <c r="M37" s="262"/>
    </row>
    <row r="38" spans="1:15" ht="14.5" x14ac:dyDescent="0.35">
      <c r="A38" s="262"/>
      <c r="B38" s="474"/>
      <c r="C38" s="475"/>
      <c r="D38" s="508"/>
      <c r="E38" s="475"/>
      <c r="F38" s="511"/>
      <c r="G38" s="262"/>
      <c r="H38" s="262"/>
      <c r="I38" s="262"/>
      <c r="J38" s="262"/>
      <c r="K38" s="262"/>
      <c r="L38" s="262"/>
      <c r="M38" s="262"/>
    </row>
    <row r="39" spans="1:15" ht="14.5" x14ac:dyDescent="0.35">
      <c r="A39" s="262"/>
      <c r="B39" s="474"/>
      <c r="C39" s="508"/>
      <c r="D39" s="508"/>
      <c r="E39" s="508"/>
      <c r="F39" s="262"/>
      <c r="G39" s="262"/>
      <c r="H39" s="262"/>
      <c r="I39" s="262"/>
      <c r="J39" s="262"/>
      <c r="K39" s="262"/>
      <c r="L39" s="262"/>
      <c r="M39" s="262"/>
    </row>
    <row r="40" spans="1:15" ht="19" thickBot="1" x14ac:dyDescent="0.5">
      <c r="A40" s="262"/>
      <c r="B40" s="474"/>
      <c r="C40" s="508"/>
      <c r="D40" s="512"/>
      <c r="E40" s="508"/>
      <c r="F40" s="262"/>
      <c r="G40" s="262"/>
      <c r="H40" s="262"/>
      <c r="I40" s="262"/>
      <c r="J40" s="262"/>
      <c r="K40" s="262"/>
      <c r="L40" s="262"/>
      <c r="M40" s="262"/>
    </row>
    <row r="41" spans="1:15" ht="15.65" customHeight="1" thickBot="1" x14ac:dyDescent="0.45">
      <c r="A41" s="348"/>
      <c r="B41" s="931" t="s">
        <v>37</v>
      </c>
      <c r="C41" s="928" t="s">
        <v>0</v>
      </c>
      <c r="D41" s="298" t="s">
        <v>2</v>
      </c>
      <c r="E41" s="184" t="s">
        <v>3</v>
      </c>
      <c r="F41" s="772" t="s">
        <v>4</v>
      </c>
      <c r="G41" s="774" t="s">
        <v>143</v>
      </c>
      <c r="H41" s="186" t="s">
        <v>6</v>
      </c>
      <c r="I41" s="773" t="s">
        <v>7</v>
      </c>
      <c r="M41" s="349"/>
      <c r="N41" s="349"/>
    </row>
    <row r="42" spans="1:15" ht="29.25" customHeight="1" x14ac:dyDescent="0.4">
      <c r="A42" s="497"/>
      <c r="B42" s="932"/>
      <c r="C42" s="929"/>
      <c r="D42" s="299" t="s">
        <v>0</v>
      </c>
      <c r="E42" s="188" t="s">
        <v>0</v>
      </c>
      <c r="F42" s="772" t="s">
        <v>0</v>
      </c>
      <c r="G42" s="664" t="s">
        <v>0</v>
      </c>
      <c r="H42" s="665" t="s">
        <v>8</v>
      </c>
      <c r="I42" s="666" t="s">
        <v>9</v>
      </c>
      <c r="M42" s="262"/>
      <c r="N42" s="262"/>
    </row>
    <row r="43" spans="1:15" ht="14.5" x14ac:dyDescent="0.35">
      <c r="A43" s="192" t="s">
        <v>24</v>
      </c>
      <c r="B43" s="193">
        <v>45658</v>
      </c>
      <c r="C43" s="194"/>
      <c r="D43" s="195"/>
      <c r="E43" s="286"/>
      <c r="F43" s="855"/>
      <c r="G43" s="727"/>
      <c r="H43" s="869"/>
      <c r="I43" s="744"/>
      <c r="K43" s="923" t="s">
        <v>12</v>
      </c>
      <c r="L43" s="923"/>
      <c r="M43" s="262"/>
      <c r="N43" s="262"/>
    </row>
    <row r="44" spans="1:15" ht="14.5" x14ac:dyDescent="0.35">
      <c r="A44" s="192" t="s">
        <v>10</v>
      </c>
      <c r="B44" s="193">
        <v>45659</v>
      </c>
      <c r="C44" s="212">
        <v>3252</v>
      </c>
      <c r="D44" s="213">
        <v>160</v>
      </c>
      <c r="E44" s="203">
        <v>0</v>
      </c>
      <c r="F44" s="676">
        <v>0</v>
      </c>
      <c r="G44" s="690">
        <v>1</v>
      </c>
      <c r="H44" s="736" t="s">
        <v>444</v>
      </c>
      <c r="I44" s="745">
        <v>20</v>
      </c>
      <c r="K44" s="513" t="s">
        <v>15</v>
      </c>
      <c r="L44" s="409">
        <v>45000</v>
      </c>
      <c r="M44" s="262"/>
      <c r="N44" s="262"/>
    </row>
    <row r="45" spans="1:15" ht="14.5" x14ac:dyDescent="0.35">
      <c r="A45" s="192" t="s">
        <v>13</v>
      </c>
      <c r="B45" s="193">
        <v>45660</v>
      </c>
      <c r="C45" s="205">
        <v>1613</v>
      </c>
      <c r="D45" s="206">
        <v>65</v>
      </c>
      <c r="E45" s="207">
        <v>0</v>
      </c>
      <c r="F45" s="675">
        <v>0</v>
      </c>
      <c r="G45" s="507">
        <v>1</v>
      </c>
      <c r="H45" s="735" t="s">
        <v>445</v>
      </c>
      <c r="I45" s="746">
        <v>12</v>
      </c>
      <c r="K45" s="504" t="s">
        <v>17</v>
      </c>
      <c r="L45" s="411">
        <v>2000</v>
      </c>
      <c r="M45" s="262"/>
      <c r="N45" s="262"/>
    </row>
    <row r="46" spans="1:15" ht="14.5" x14ac:dyDescent="0.35">
      <c r="A46" s="192" t="s">
        <v>16</v>
      </c>
      <c r="B46" s="193">
        <v>45661</v>
      </c>
      <c r="C46" s="209">
        <v>2814</v>
      </c>
      <c r="D46" s="210">
        <v>165</v>
      </c>
      <c r="E46" s="211">
        <v>0</v>
      </c>
      <c r="F46" s="684">
        <v>0</v>
      </c>
      <c r="G46" s="279">
        <v>5</v>
      </c>
      <c r="H46" s="743" t="s">
        <v>446</v>
      </c>
      <c r="I46" s="747">
        <v>12</v>
      </c>
      <c r="K46" s="515" t="s">
        <v>19</v>
      </c>
      <c r="L46" s="413">
        <v>10</v>
      </c>
      <c r="M46" s="262"/>
      <c r="N46" s="262"/>
    </row>
    <row r="47" spans="1:15" ht="14.5" x14ac:dyDescent="0.35">
      <c r="A47" s="192" t="s">
        <v>18</v>
      </c>
      <c r="B47" s="193">
        <v>45662</v>
      </c>
      <c r="C47" s="205"/>
      <c r="D47" s="206"/>
      <c r="E47" s="207"/>
      <c r="F47" s="675"/>
      <c r="G47" s="507"/>
      <c r="H47" s="735"/>
      <c r="I47" s="746"/>
      <c r="K47" s="838"/>
      <c r="L47" s="839"/>
      <c r="M47" s="262"/>
      <c r="N47" s="262"/>
    </row>
    <row r="48" spans="1:15" ht="14.5" x14ac:dyDescent="0.35">
      <c r="A48" s="192" t="s">
        <v>20</v>
      </c>
      <c r="B48" s="193">
        <v>45663</v>
      </c>
      <c r="C48" s="212">
        <v>2272</v>
      </c>
      <c r="D48" s="213">
        <v>30</v>
      </c>
      <c r="E48" s="203">
        <v>0</v>
      </c>
      <c r="F48" s="676">
        <v>1</v>
      </c>
      <c r="G48" s="690">
        <v>1</v>
      </c>
      <c r="H48" s="734" t="s">
        <v>447</v>
      </c>
      <c r="I48" s="745">
        <v>16</v>
      </c>
      <c r="K48" s="262"/>
      <c r="L48" s="262"/>
      <c r="M48" s="262"/>
      <c r="N48" s="262"/>
    </row>
    <row r="49" spans="1:14" ht="14.5" x14ac:dyDescent="0.35">
      <c r="A49" s="192" t="s">
        <v>22</v>
      </c>
      <c r="B49" s="193">
        <v>45664</v>
      </c>
      <c r="C49" s="214">
        <v>1837</v>
      </c>
      <c r="D49" s="195">
        <v>155</v>
      </c>
      <c r="E49" s="215">
        <v>1</v>
      </c>
      <c r="F49" s="682">
        <v>0</v>
      </c>
      <c r="G49" s="247">
        <v>1</v>
      </c>
      <c r="H49" s="736" t="s">
        <v>448</v>
      </c>
      <c r="I49" s="748">
        <v>9</v>
      </c>
      <c r="K49" s="262"/>
      <c r="L49" s="262"/>
      <c r="M49" s="262"/>
      <c r="N49" s="262"/>
    </row>
    <row r="50" spans="1:14" ht="14.5" x14ac:dyDescent="0.35">
      <c r="A50" s="192" t="s">
        <v>24</v>
      </c>
      <c r="B50" s="193">
        <v>45665</v>
      </c>
      <c r="C50" s="217">
        <v>1956</v>
      </c>
      <c r="D50" s="218">
        <v>0</v>
      </c>
      <c r="E50" s="219">
        <v>0</v>
      </c>
      <c r="F50" s="677">
        <v>0</v>
      </c>
      <c r="G50" s="854">
        <v>0</v>
      </c>
      <c r="H50" s="737" t="s">
        <v>449</v>
      </c>
      <c r="I50" s="749">
        <v>10</v>
      </c>
      <c r="K50" s="262"/>
      <c r="L50" s="262"/>
      <c r="M50" s="262"/>
      <c r="N50" s="262"/>
    </row>
    <row r="51" spans="1:14" ht="14.5" x14ac:dyDescent="0.35">
      <c r="A51" s="192" t="s">
        <v>10</v>
      </c>
      <c r="B51" s="193">
        <v>45666</v>
      </c>
      <c r="C51" s="221">
        <v>1458</v>
      </c>
      <c r="D51" s="222">
        <v>20</v>
      </c>
      <c r="E51" s="223">
        <v>0</v>
      </c>
      <c r="F51" s="223">
        <v>0</v>
      </c>
      <c r="G51" s="692">
        <v>0</v>
      </c>
      <c r="H51" s="738" t="s">
        <v>450</v>
      </c>
      <c r="I51" s="750">
        <v>10</v>
      </c>
      <c r="K51" s="262"/>
      <c r="L51" s="262"/>
      <c r="M51" s="262"/>
      <c r="N51" s="262"/>
    </row>
    <row r="52" spans="1:14" ht="14.5" x14ac:dyDescent="0.35">
      <c r="A52" s="192" t="s">
        <v>13</v>
      </c>
      <c r="B52" s="193">
        <v>45667</v>
      </c>
      <c r="C52" s="225">
        <v>967</v>
      </c>
      <c r="D52" s="226">
        <v>45</v>
      </c>
      <c r="E52" s="227">
        <v>0</v>
      </c>
      <c r="F52" s="227">
        <v>0</v>
      </c>
      <c r="G52" s="693">
        <v>0</v>
      </c>
      <c r="H52" s="739" t="s">
        <v>451</v>
      </c>
      <c r="I52" s="751">
        <v>13</v>
      </c>
      <c r="K52" s="262"/>
      <c r="L52" s="262"/>
      <c r="M52" s="262"/>
      <c r="N52" s="262"/>
    </row>
    <row r="53" spans="1:14" ht="14.5" x14ac:dyDescent="0.35">
      <c r="A53" s="192" t="s">
        <v>16</v>
      </c>
      <c r="B53" s="193">
        <v>45668</v>
      </c>
      <c r="C53" s="229">
        <v>3274</v>
      </c>
      <c r="D53" s="230">
        <v>85</v>
      </c>
      <c r="E53" s="231">
        <v>0</v>
      </c>
      <c r="F53" s="231">
        <v>2</v>
      </c>
      <c r="G53" s="694">
        <v>0</v>
      </c>
      <c r="H53" s="740" t="s">
        <v>452</v>
      </c>
      <c r="I53" s="752">
        <v>14</v>
      </c>
      <c r="K53" s="262"/>
      <c r="L53" s="262"/>
      <c r="M53" s="262"/>
      <c r="N53" s="262"/>
    </row>
    <row r="54" spans="1:14" ht="14.5" x14ac:dyDescent="0.35">
      <c r="A54" s="192" t="s">
        <v>18</v>
      </c>
      <c r="B54" s="193">
        <v>45669</v>
      </c>
      <c r="C54" s="225"/>
      <c r="D54" s="226"/>
      <c r="E54" s="227"/>
      <c r="F54" s="227"/>
      <c r="G54" s="693"/>
      <c r="H54" s="739"/>
      <c r="I54" s="751"/>
      <c r="K54" s="262"/>
      <c r="L54" s="262"/>
      <c r="M54" s="262"/>
      <c r="N54" s="262"/>
    </row>
    <row r="55" spans="1:14" ht="14.5" x14ac:dyDescent="0.35">
      <c r="A55" s="192" t="s">
        <v>20</v>
      </c>
      <c r="B55" s="193">
        <v>45670</v>
      </c>
      <c r="C55" s="233">
        <v>1896</v>
      </c>
      <c r="D55" s="234">
        <v>110</v>
      </c>
      <c r="E55" s="235">
        <v>0</v>
      </c>
      <c r="F55" s="235">
        <v>0</v>
      </c>
      <c r="G55" s="481">
        <v>0</v>
      </c>
      <c r="H55" s="741" t="s">
        <v>453</v>
      </c>
      <c r="I55" s="753">
        <v>15</v>
      </c>
      <c r="K55" s="262"/>
      <c r="L55" s="262"/>
      <c r="M55" s="262"/>
      <c r="N55" s="262"/>
    </row>
    <row r="56" spans="1:14" ht="14.5" x14ac:dyDescent="0.35">
      <c r="A56" s="192" t="s">
        <v>22</v>
      </c>
      <c r="B56" s="193">
        <v>45671</v>
      </c>
      <c r="C56" s="225">
        <v>2097</v>
      </c>
      <c r="D56" s="226">
        <v>125</v>
      </c>
      <c r="E56" s="227">
        <v>0</v>
      </c>
      <c r="F56" s="227">
        <v>0</v>
      </c>
      <c r="G56" s="693">
        <v>2</v>
      </c>
      <c r="H56" s="739" t="s">
        <v>454</v>
      </c>
      <c r="I56" s="751">
        <v>10</v>
      </c>
      <c r="K56" s="262"/>
      <c r="L56" s="262"/>
      <c r="M56" s="262"/>
      <c r="N56" s="262"/>
    </row>
    <row r="57" spans="1:14" ht="14.5" x14ac:dyDescent="0.35">
      <c r="A57" s="192" t="s">
        <v>24</v>
      </c>
      <c r="B57" s="193">
        <v>45672</v>
      </c>
      <c r="C57" s="233">
        <v>1510</v>
      </c>
      <c r="D57" s="195">
        <v>0</v>
      </c>
      <c r="E57" s="215">
        <v>0</v>
      </c>
      <c r="F57" s="215">
        <v>0</v>
      </c>
      <c r="G57" s="615">
        <v>1</v>
      </c>
      <c r="H57" s="736" t="s">
        <v>455</v>
      </c>
      <c r="I57" s="748">
        <v>7</v>
      </c>
      <c r="K57" s="262"/>
      <c r="L57" s="262"/>
      <c r="M57" s="262"/>
      <c r="N57" s="262"/>
    </row>
    <row r="58" spans="1:14" ht="14.5" x14ac:dyDescent="0.35">
      <c r="A58" s="192" t="s">
        <v>10</v>
      </c>
      <c r="B58" s="193">
        <v>45673</v>
      </c>
      <c r="C58" s="209">
        <v>1469</v>
      </c>
      <c r="D58" s="213">
        <v>20</v>
      </c>
      <c r="E58" s="203">
        <v>0</v>
      </c>
      <c r="F58" s="203">
        <v>0</v>
      </c>
      <c r="G58" s="611">
        <v>1</v>
      </c>
      <c r="H58" s="734" t="s">
        <v>456</v>
      </c>
      <c r="I58" s="745">
        <v>12</v>
      </c>
      <c r="K58" s="262"/>
      <c r="L58" s="262"/>
      <c r="M58" s="262"/>
      <c r="N58" s="262"/>
    </row>
    <row r="59" spans="1:14" ht="14.5" x14ac:dyDescent="0.35">
      <c r="A59" s="192" t="s">
        <v>13</v>
      </c>
      <c r="B59" s="193">
        <v>45674</v>
      </c>
      <c r="C59" s="233">
        <v>978</v>
      </c>
      <c r="D59" s="234">
        <v>40</v>
      </c>
      <c r="E59" s="215">
        <v>0</v>
      </c>
      <c r="F59" s="215">
        <v>0</v>
      </c>
      <c r="G59" s="615">
        <v>2</v>
      </c>
      <c r="H59" s="736" t="s">
        <v>457</v>
      </c>
      <c r="I59" s="748">
        <v>13</v>
      </c>
      <c r="K59" s="262"/>
      <c r="L59" s="262"/>
      <c r="M59" s="262"/>
      <c r="N59" s="262"/>
    </row>
    <row r="60" spans="1:14" ht="14.5" x14ac:dyDescent="0.35">
      <c r="A60" s="192" t="s">
        <v>16</v>
      </c>
      <c r="B60" s="193">
        <v>45675</v>
      </c>
      <c r="C60" s="237">
        <v>2973</v>
      </c>
      <c r="D60" s="238">
        <v>260</v>
      </c>
      <c r="E60" s="239">
        <v>1</v>
      </c>
      <c r="F60" s="239">
        <v>0</v>
      </c>
      <c r="G60" s="695">
        <v>8</v>
      </c>
      <c r="H60" s="742" t="s">
        <v>458</v>
      </c>
      <c r="I60" s="754">
        <v>19</v>
      </c>
      <c r="K60" s="262"/>
      <c r="L60" s="262"/>
      <c r="M60" s="262"/>
      <c r="N60" s="262"/>
    </row>
    <row r="61" spans="1:14" ht="14.5" x14ac:dyDescent="0.35">
      <c r="A61" s="192" t="s">
        <v>18</v>
      </c>
      <c r="B61" s="193">
        <v>45676</v>
      </c>
      <c r="C61" s="214"/>
      <c r="D61" s="195"/>
      <c r="E61" s="215"/>
      <c r="F61" s="215"/>
      <c r="G61" s="615"/>
      <c r="H61" s="736"/>
      <c r="I61" s="748"/>
      <c r="K61" s="262"/>
      <c r="L61" s="262"/>
      <c r="M61" s="262"/>
      <c r="N61" s="262"/>
    </row>
    <row r="62" spans="1:14" ht="14.5" x14ac:dyDescent="0.35">
      <c r="A62" s="192" t="s">
        <v>20</v>
      </c>
      <c r="B62" s="193">
        <v>45677</v>
      </c>
      <c r="C62" s="237">
        <v>2922</v>
      </c>
      <c r="D62" s="238">
        <v>90</v>
      </c>
      <c r="E62" s="239">
        <v>0</v>
      </c>
      <c r="F62" s="239">
        <v>6</v>
      </c>
      <c r="G62" s="695">
        <v>9</v>
      </c>
      <c r="H62" s="742" t="s">
        <v>459</v>
      </c>
      <c r="I62" s="754">
        <v>27</v>
      </c>
      <c r="K62" s="262"/>
      <c r="L62" s="262"/>
      <c r="M62" s="262"/>
      <c r="N62" s="262"/>
    </row>
    <row r="63" spans="1:14" ht="14.5" x14ac:dyDescent="0.35">
      <c r="A63" s="192" t="s">
        <v>22</v>
      </c>
      <c r="B63" s="193">
        <v>45678</v>
      </c>
      <c r="C63" s="205">
        <v>2260</v>
      </c>
      <c r="D63" s="206">
        <v>155</v>
      </c>
      <c r="E63" s="207">
        <v>0</v>
      </c>
      <c r="F63" s="207">
        <v>0</v>
      </c>
      <c r="G63" s="612">
        <v>5</v>
      </c>
      <c r="H63" s="735" t="s">
        <v>460</v>
      </c>
      <c r="I63" s="746">
        <v>11</v>
      </c>
      <c r="K63" s="262"/>
      <c r="L63" s="262"/>
      <c r="M63" s="262"/>
      <c r="N63" s="262"/>
    </row>
    <row r="64" spans="1:14" ht="14.5" x14ac:dyDescent="0.35">
      <c r="A64" s="192" t="s">
        <v>24</v>
      </c>
      <c r="B64" s="193">
        <v>45679</v>
      </c>
      <c r="C64" s="209">
        <v>3174</v>
      </c>
      <c r="D64" s="210">
        <v>0</v>
      </c>
      <c r="E64" s="211">
        <v>0</v>
      </c>
      <c r="F64" s="211">
        <v>0</v>
      </c>
      <c r="G64" s="287">
        <v>1</v>
      </c>
      <c r="H64" s="743" t="s">
        <v>461</v>
      </c>
      <c r="I64" s="747">
        <v>20</v>
      </c>
      <c r="K64" s="262"/>
      <c r="L64" s="262"/>
      <c r="M64" s="262"/>
      <c r="N64" s="262"/>
    </row>
    <row r="65" spans="1:14" ht="14.5" x14ac:dyDescent="0.35">
      <c r="A65" s="192" t="s">
        <v>10</v>
      </c>
      <c r="B65" s="193">
        <v>45680</v>
      </c>
      <c r="C65" s="233">
        <v>2028</v>
      </c>
      <c r="D65" s="234">
        <v>50</v>
      </c>
      <c r="E65" s="235">
        <v>0</v>
      </c>
      <c r="F65" s="235">
        <v>0</v>
      </c>
      <c r="G65" s="481">
        <v>1</v>
      </c>
      <c r="H65" s="741" t="s">
        <v>462</v>
      </c>
      <c r="I65" s="753">
        <v>11</v>
      </c>
      <c r="K65" s="262"/>
      <c r="L65" s="262"/>
      <c r="M65" s="262"/>
      <c r="N65" s="262"/>
    </row>
    <row r="66" spans="1:14" ht="14.5" x14ac:dyDescent="0.35">
      <c r="A66" s="192" t="s">
        <v>13</v>
      </c>
      <c r="B66" s="193">
        <v>45681</v>
      </c>
      <c r="C66" s="237">
        <v>2105</v>
      </c>
      <c r="D66" s="238">
        <v>0</v>
      </c>
      <c r="E66" s="239">
        <v>0</v>
      </c>
      <c r="F66" s="239">
        <v>0</v>
      </c>
      <c r="G66" s="695">
        <v>1</v>
      </c>
      <c r="H66" s="742" t="s">
        <v>461</v>
      </c>
      <c r="I66" s="754">
        <v>16</v>
      </c>
      <c r="K66" s="262"/>
      <c r="L66" s="262"/>
      <c r="M66" s="262"/>
      <c r="N66" s="262"/>
    </row>
    <row r="67" spans="1:14" ht="14.5" x14ac:dyDescent="0.35">
      <c r="A67" s="192" t="s">
        <v>16</v>
      </c>
      <c r="B67" s="193">
        <v>45682</v>
      </c>
      <c r="C67" s="233">
        <v>2119</v>
      </c>
      <c r="D67" s="234">
        <v>60</v>
      </c>
      <c r="E67" s="235">
        <v>0</v>
      </c>
      <c r="F67" s="235">
        <v>0</v>
      </c>
      <c r="G67" s="481">
        <v>3</v>
      </c>
      <c r="H67" s="741" t="s">
        <v>463</v>
      </c>
      <c r="I67" s="753">
        <v>11</v>
      </c>
      <c r="K67" s="262"/>
      <c r="L67" s="262"/>
      <c r="M67" s="262"/>
      <c r="N67" s="262"/>
    </row>
    <row r="68" spans="1:14" ht="14.5" x14ac:dyDescent="0.35">
      <c r="A68" s="192" t="s">
        <v>18</v>
      </c>
      <c r="B68" s="193">
        <v>45683</v>
      </c>
      <c r="C68" s="209"/>
      <c r="D68" s="210"/>
      <c r="E68" s="211"/>
      <c r="F68" s="211"/>
      <c r="G68" s="287"/>
      <c r="H68" s="743"/>
      <c r="I68" s="747"/>
      <c r="K68" s="262"/>
      <c r="L68" s="262"/>
      <c r="M68" s="262"/>
      <c r="N68" s="262"/>
    </row>
    <row r="69" spans="1:14" ht="14.5" x14ac:dyDescent="0.35">
      <c r="A69" s="192" t="s">
        <v>20</v>
      </c>
      <c r="B69" s="193">
        <v>45684</v>
      </c>
      <c r="C69" s="214">
        <v>1276</v>
      </c>
      <c r="D69" s="195">
        <v>85</v>
      </c>
      <c r="E69" s="215">
        <v>0</v>
      </c>
      <c r="F69" s="215">
        <v>0</v>
      </c>
      <c r="G69" s="615">
        <v>1</v>
      </c>
      <c r="H69" s="736" t="s">
        <v>464</v>
      </c>
      <c r="I69" s="748">
        <v>8</v>
      </c>
      <c r="K69" s="262"/>
      <c r="L69" s="262"/>
      <c r="M69" s="262"/>
      <c r="N69" s="262"/>
    </row>
    <row r="70" spans="1:14" ht="14.5" x14ac:dyDescent="0.35">
      <c r="A70" s="192" t="s">
        <v>22</v>
      </c>
      <c r="B70" s="193">
        <v>45685</v>
      </c>
      <c r="C70" s="212">
        <v>1524</v>
      </c>
      <c r="D70" s="213">
        <v>180</v>
      </c>
      <c r="E70" s="203">
        <v>0</v>
      </c>
      <c r="F70" s="203">
        <v>0</v>
      </c>
      <c r="G70" s="611">
        <v>4</v>
      </c>
      <c r="H70" s="734" t="s">
        <v>465</v>
      </c>
      <c r="I70" s="745">
        <v>10</v>
      </c>
      <c r="K70" s="262"/>
      <c r="L70" s="262"/>
      <c r="M70" s="262"/>
      <c r="N70" s="262"/>
    </row>
    <row r="71" spans="1:14" ht="14.5" x14ac:dyDescent="0.35">
      <c r="A71" s="192" t="s">
        <v>24</v>
      </c>
      <c r="B71" s="193">
        <v>45686</v>
      </c>
      <c r="C71" s="233">
        <v>1922</v>
      </c>
      <c r="D71" s="263">
        <v>70</v>
      </c>
      <c r="E71" s="215">
        <v>0</v>
      </c>
      <c r="F71" s="215">
        <v>0</v>
      </c>
      <c r="G71" s="615">
        <v>0</v>
      </c>
      <c r="H71" s="736" t="s">
        <v>466</v>
      </c>
      <c r="I71" s="748">
        <v>15</v>
      </c>
      <c r="K71" s="262"/>
      <c r="L71" s="262"/>
      <c r="M71" s="262"/>
      <c r="N71" s="262"/>
    </row>
    <row r="72" spans="1:14" ht="14.5" x14ac:dyDescent="0.35">
      <c r="A72" s="192" t="s">
        <v>10</v>
      </c>
      <c r="B72" s="193">
        <v>45687</v>
      </c>
      <c r="C72" s="212">
        <v>2400</v>
      </c>
      <c r="D72" s="213">
        <v>50</v>
      </c>
      <c r="E72" s="203">
        <v>0</v>
      </c>
      <c r="F72" s="203">
        <v>0</v>
      </c>
      <c r="G72" s="611">
        <v>0</v>
      </c>
      <c r="H72" s="734" t="s">
        <v>467</v>
      </c>
      <c r="I72" s="745">
        <v>16</v>
      </c>
      <c r="K72" s="262"/>
      <c r="L72" s="262"/>
      <c r="M72" s="262"/>
      <c r="N72" s="262"/>
    </row>
    <row r="73" spans="1:14" thickBot="1" x14ac:dyDescent="0.4">
      <c r="A73" s="192" t="s">
        <v>13</v>
      </c>
      <c r="B73" s="193">
        <v>45688</v>
      </c>
      <c r="C73" s="264">
        <v>3659</v>
      </c>
      <c r="D73" s="265">
        <v>25</v>
      </c>
      <c r="E73" s="266">
        <v>0</v>
      </c>
      <c r="F73" s="266">
        <v>0</v>
      </c>
      <c r="G73" s="696">
        <v>0</v>
      </c>
      <c r="H73" s="870" t="s">
        <v>468</v>
      </c>
      <c r="I73" s="755">
        <v>17</v>
      </c>
      <c r="K73" s="262"/>
      <c r="L73" s="262"/>
      <c r="M73" s="262"/>
      <c r="N73" s="262"/>
    </row>
    <row r="74" spans="1:14" thickBot="1" x14ac:dyDescent="0.4">
      <c r="A74" s="257"/>
      <c r="B74" s="268"/>
      <c r="C74" s="258">
        <f t="shared" ref="C74:F74" si="1">SUM(C43:C73)</f>
        <v>55755</v>
      </c>
      <c r="D74" s="259">
        <f t="shared" si="1"/>
        <v>2045</v>
      </c>
      <c r="E74" s="260">
        <f t="shared" si="1"/>
        <v>2</v>
      </c>
      <c r="F74" s="260">
        <f t="shared" si="1"/>
        <v>9</v>
      </c>
      <c r="G74" s="261">
        <f>SUM(G43:G73)</f>
        <v>48</v>
      </c>
      <c r="H74" s="261"/>
      <c r="I74" s="261"/>
      <c r="K74" s="262"/>
      <c r="L74" s="262"/>
      <c r="M74" s="262"/>
      <c r="N74" s="262"/>
    </row>
    <row r="75" spans="1:14" ht="14.5" x14ac:dyDescent="0.35">
      <c r="A75" s="262"/>
      <c r="B75" s="474"/>
      <c r="C75" s="508"/>
      <c r="D75" s="262"/>
      <c r="E75" s="475"/>
      <c r="F75" s="511"/>
      <c r="G75" s="262"/>
      <c r="H75" s="262"/>
      <c r="I75" s="262"/>
      <c r="J75" s="262"/>
      <c r="K75" s="262"/>
      <c r="L75" s="262"/>
      <c r="M75" s="262"/>
    </row>
    <row r="76" spans="1:14" ht="16.5" thickBot="1" x14ac:dyDescent="0.45">
      <c r="A76" s="262"/>
      <c r="B76" s="474"/>
      <c r="C76" s="508"/>
      <c r="D76" s="262"/>
      <c r="E76" s="508"/>
      <c r="F76" s="262"/>
      <c r="G76" s="262"/>
      <c r="H76" s="262"/>
      <c r="I76" s="262"/>
      <c r="J76" s="262"/>
      <c r="K76" s="349"/>
      <c r="L76" s="349"/>
      <c r="M76" s="262"/>
    </row>
    <row r="77" spans="1:14" ht="15.65" customHeight="1" thickBot="1" x14ac:dyDescent="0.45">
      <c r="A77" s="348"/>
      <c r="B77" s="926" t="s">
        <v>53</v>
      </c>
      <c r="C77" s="928" t="s">
        <v>0</v>
      </c>
      <c r="D77" s="298" t="s">
        <v>2</v>
      </c>
      <c r="E77" s="184" t="s">
        <v>3</v>
      </c>
      <c r="F77" s="772" t="s">
        <v>4</v>
      </c>
      <c r="G77" s="774" t="s">
        <v>143</v>
      </c>
      <c r="H77" s="186" t="s">
        <v>6</v>
      </c>
      <c r="I77" s="773" t="s">
        <v>7</v>
      </c>
      <c r="M77" s="349"/>
      <c r="N77" s="349"/>
    </row>
    <row r="78" spans="1:14" ht="33" customHeight="1" x14ac:dyDescent="0.4">
      <c r="A78" s="497"/>
      <c r="B78" s="927"/>
      <c r="C78" s="929"/>
      <c r="D78" s="299" t="s">
        <v>0</v>
      </c>
      <c r="E78" s="188" t="s">
        <v>0</v>
      </c>
      <c r="F78" s="772" t="s">
        <v>0</v>
      </c>
      <c r="G78" s="664" t="s">
        <v>0</v>
      </c>
      <c r="H78" s="665" t="s">
        <v>8</v>
      </c>
      <c r="I78" s="666" t="s">
        <v>9</v>
      </c>
      <c r="K78" s="923" t="s">
        <v>12</v>
      </c>
      <c r="L78" s="923"/>
      <c r="M78" s="262"/>
      <c r="N78" s="262"/>
    </row>
    <row r="79" spans="1:14" ht="14.5" x14ac:dyDescent="0.35">
      <c r="A79" s="192" t="s">
        <v>24</v>
      </c>
      <c r="B79" s="193">
        <v>45658</v>
      </c>
      <c r="C79" s="194"/>
      <c r="D79" s="195"/>
      <c r="E79" s="286"/>
      <c r="F79" s="855"/>
      <c r="G79" s="728"/>
      <c r="H79" s="871"/>
      <c r="I79" s="744"/>
      <c r="K79" s="513" t="s">
        <v>15</v>
      </c>
      <c r="L79" s="409">
        <v>55000</v>
      </c>
      <c r="M79" s="262"/>
      <c r="N79" s="262"/>
    </row>
    <row r="80" spans="1:14" ht="14.5" x14ac:dyDescent="0.35">
      <c r="A80" s="192" t="s">
        <v>10</v>
      </c>
      <c r="B80" s="193">
        <v>45659</v>
      </c>
      <c r="C80" s="212">
        <v>3013</v>
      </c>
      <c r="D80" s="213">
        <v>116</v>
      </c>
      <c r="E80" s="203">
        <v>0</v>
      </c>
      <c r="F80" s="203">
        <v>0</v>
      </c>
      <c r="G80" s="611">
        <v>5</v>
      </c>
      <c r="H80" s="736" t="s">
        <v>469</v>
      </c>
      <c r="I80" s="745">
        <v>22</v>
      </c>
      <c r="K80" s="504" t="s">
        <v>17</v>
      </c>
      <c r="L80" s="411">
        <v>2000</v>
      </c>
      <c r="M80" s="262"/>
      <c r="N80" s="262"/>
    </row>
    <row r="81" spans="1:14" ht="14.5" x14ac:dyDescent="0.35">
      <c r="A81" s="192" t="s">
        <v>13</v>
      </c>
      <c r="B81" s="193">
        <v>45660</v>
      </c>
      <c r="C81" s="205">
        <v>2676</v>
      </c>
      <c r="D81" s="206">
        <v>0</v>
      </c>
      <c r="E81" s="207">
        <v>0</v>
      </c>
      <c r="F81" s="207">
        <v>0</v>
      </c>
      <c r="G81" s="675">
        <v>4</v>
      </c>
      <c r="H81" s="872" t="s">
        <v>470</v>
      </c>
      <c r="I81" s="746">
        <v>21</v>
      </c>
      <c r="K81" s="515" t="s">
        <v>19</v>
      </c>
      <c r="L81" s="413">
        <v>20</v>
      </c>
      <c r="M81" s="262"/>
      <c r="N81" s="262"/>
    </row>
    <row r="82" spans="1:14" ht="14.5" x14ac:dyDescent="0.35">
      <c r="A82" s="192" t="s">
        <v>16</v>
      </c>
      <c r="B82" s="193">
        <v>45661</v>
      </c>
      <c r="C82" s="209">
        <v>1718</v>
      </c>
      <c r="D82" s="210">
        <v>58</v>
      </c>
      <c r="E82" s="211">
        <v>0</v>
      </c>
      <c r="F82" s="211">
        <v>0</v>
      </c>
      <c r="G82" s="684">
        <v>0</v>
      </c>
      <c r="H82" s="873" t="s">
        <v>471</v>
      </c>
      <c r="I82" s="747">
        <v>16</v>
      </c>
      <c r="K82" s="838"/>
      <c r="L82" s="839"/>
      <c r="M82" s="262"/>
      <c r="N82" s="262"/>
    </row>
    <row r="83" spans="1:14" ht="14.5" x14ac:dyDescent="0.35">
      <c r="A83" s="192" t="s">
        <v>18</v>
      </c>
      <c r="B83" s="193">
        <v>45662</v>
      </c>
      <c r="C83" s="205"/>
      <c r="D83" s="206"/>
      <c r="E83" s="207"/>
      <c r="F83" s="207"/>
      <c r="G83" s="675"/>
      <c r="H83" s="872"/>
      <c r="I83" s="746"/>
      <c r="K83" s="262"/>
      <c r="L83" s="262"/>
      <c r="M83" s="262"/>
      <c r="N83" s="262"/>
    </row>
    <row r="84" spans="1:14" ht="14.5" x14ac:dyDescent="0.35">
      <c r="A84" s="192" t="s">
        <v>20</v>
      </c>
      <c r="B84" s="193">
        <v>45663</v>
      </c>
      <c r="C84" s="212">
        <v>2760</v>
      </c>
      <c r="D84" s="213">
        <v>86.85</v>
      </c>
      <c r="E84" s="203">
        <v>0</v>
      </c>
      <c r="F84" s="203">
        <v>0</v>
      </c>
      <c r="G84" s="676">
        <v>1</v>
      </c>
      <c r="H84" s="874" t="s">
        <v>472</v>
      </c>
      <c r="I84" s="745">
        <v>13</v>
      </c>
      <c r="K84" s="262"/>
      <c r="L84" s="262"/>
      <c r="M84" s="262"/>
      <c r="N84" s="262"/>
    </row>
    <row r="85" spans="1:14" ht="14.5" x14ac:dyDescent="0.35">
      <c r="A85" s="192" t="s">
        <v>22</v>
      </c>
      <c r="B85" s="193">
        <v>45664</v>
      </c>
      <c r="C85" s="214">
        <v>1896</v>
      </c>
      <c r="D85" s="195">
        <v>87</v>
      </c>
      <c r="E85" s="215">
        <v>0</v>
      </c>
      <c r="F85" s="215">
        <v>0</v>
      </c>
      <c r="G85" s="682">
        <v>0</v>
      </c>
      <c r="H85" s="875" t="s">
        <v>473</v>
      </c>
      <c r="I85" s="748">
        <v>11</v>
      </c>
      <c r="K85" s="262"/>
      <c r="L85" s="262"/>
      <c r="M85" s="262"/>
      <c r="N85" s="262"/>
    </row>
    <row r="86" spans="1:14" ht="14.5" x14ac:dyDescent="0.35">
      <c r="A86" s="192" t="s">
        <v>24</v>
      </c>
      <c r="B86" s="193">
        <v>45665</v>
      </c>
      <c r="C86" s="217">
        <v>2535</v>
      </c>
      <c r="D86" s="218">
        <v>88</v>
      </c>
      <c r="E86" s="219">
        <v>0</v>
      </c>
      <c r="F86" s="219">
        <v>0</v>
      </c>
      <c r="G86" s="677">
        <v>0</v>
      </c>
      <c r="H86" s="876" t="s">
        <v>474</v>
      </c>
      <c r="I86" s="749">
        <v>14</v>
      </c>
      <c r="K86" s="262"/>
      <c r="L86" s="262"/>
      <c r="M86" s="262"/>
      <c r="N86" s="262"/>
    </row>
    <row r="87" spans="1:14" ht="14.5" x14ac:dyDescent="0.35">
      <c r="A87" s="192" t="s">
        <v>10</v>
      </c>
      <c r="B87" s="193">
        <v>45666</v>
      </c>
      <c r="C87" s="221">
        <v>1926</v>
      </c>
      <c r="D87" s="222">
        <v>0</v>
      </c>
      <c r="E87" s="223">
        <v>0</v>
      </c>
      <c r="F87" s="223">
        <v>0</v>
      </c>
      <c r="G87" s="678">
        <v>0</v>
      </c>
      <c r="H87" s="877" t="s">
        <v>475</v>
      </c>
      <c r="I87" s="750">
        <v>12</v>
      </c>
      <c r="K87" s="262"/>
      <c r="L87" s="262"/>
      <c r="M87" s="262"/>
      <c r="N87" s="262"/>
    </row>
    <row r="88" spans="1:14" ht="14.5" x14ac:dyDescent="0.35">
      <c r="A88" s="192" t="s">
        <v>13</v>
      </c>
      <c r="B88" s="193">
        <v>45667</v>
      </c>
      <c r="C88" s="225">
        <v>1659</v>
      </c>
      <c r="D88" s="226">
        <v>29</v>
      </c>
      <c r="E88" s="227">
        <v>0</v>
      </c>
      <c r="F88" s="227">
        <v>2</v>
      </c>
      <c r="G88" s="679">
        <v>2</v>
      </c>
      <c r="H88" s="878" t="s">
        <v>476</v>
      </c>
      <c r="I88" s="751">
        <v>10</v>
      </c>
      <c r="K88" s="262"/>
      <c r="L88" s="262"/>
      <c r="M88" s="262"/>
      <c r="N88" s="262"/>
    </row>
    <row r="89" spans="1:14" ht="14.5" x14ac:dyDescent="0.35">
      <c r="A89" s="192" t="s">
        <v>16</v>
      </c>
      <c r="B89" s="193">
        <v>45668</v>
      </c>
      <c r="C89" s="229">
        <v>1360</v>
      </c>
      <c r="D89" s="230">
        <v>83</v>
      </c>
      <c r="E89" s="231">
        <v>0</v>
      </c>
      <c r="F89" s="231">
        <v>0</v>
      </c>
      <c r="G89" s="680">
        <v>2</v>
      </c>
      <c r="H89" s="879" t="s">
        <v>477</v>
      </c>
      <c r="I89" s="752">
        <v>17</v>
      </c>
      <c r="K89" s="262"/>
      <c r="L89" s="262"/>
      <c r="M89" s="262"/>
      <c r="N89" s="262"/>
    </row>
    <row r="90" spans="1:14" ht="14.5" x14ac:dyDescent="0.35">
      <c r="A90" s="192" t="s">
        <v>18</v>
      </c>
      <c r="B90" s="193">
        <v>45669</v>
      </c>
      <c r="C90" s="225"/>
      <c r="D90" s="226"/>
      <c r="E90" s="227"/>
      <c r="F90" s="227"/>
      <c r="G90" s="679"/>
      <c r="H90" s="878"/>
      <c r="I90" s="751"/>
      <c r="K90" s="262"/>
      <c r="L90" s="262"/>
      <c r="M90" s="262"/>
      <c r="N90" s="262"/>
    </row>
    <row r="91" spans="1:14" ht="14.5" x14ac:dyDescent="0.35">
      <c r="A91" s="192" t="s">
        <v>20</v>
      </c>
      <c r="B91" s="193">
        <v>45670</v>
      </c>
      <c r="C91" s="233">
        <v>1956</v>
      </c>
      <c r="D91" s="234">
        <v>145</v>
      </c>
      <c r="E91" s="235">
        <v>0</v>
      </c>
      <c r="F91" s="235">
        <v>0</v>
      </c>
      <c r="G91" s="681">
        <v>0</v>
      </c>
      <c r="H91" s="880" t="s">
        <v>478</v>
      </c>
      <c r="I91" s="753">
        <v>10</v>
      </c>
      <c r="K91" s="262"/>
      <c r="L91" s="262"/>
      <c r="M91" s="262"/>
      <c r="N91" s="262"/>
    </row>
    <row r="92" spans="1:14" ht="14.5" x14ac:dyDescent="0.35">
      <c r="A92" s="192" t="s">
        <v>22</v>
      </c>
      <c r="B92" s="193">
        <v>45671</v>
      </c>
      <c r="C92" s="225">
        <v>2073</v>
      </c>
      <c r="D92" s="226">
        <v>138</v>
      </c>
      <c r="E92" s="227">
        <v>0</v>
      </c>
      <c r="F92" s="227">
        <v>0</v>
      </c>
      <c r="G92" s="679">
        <v>0</v>
      </c>
      <c r="H92" s="878" t="s">
        <v>479</v>
      </c>
      <c r="I92" s="751">
        <v>9</v>
      </c>
      <c r="K92" s="262"/>
      <c r="L92" s="262"/>
      <c r="M92" s="262"/>
      <c r="N92" s="262"/>
    </row>
    <row r="93" spans="1:14" ht="14.5" x14ac:dyDescent="0.35">
      <c r="A93" s="192" t="s">
        <v>24</v>
      </c>
      <c r="B93" s="193">
        <v>45672</v>
      </c>
      <c r="C93" s="233">
        <v>932</v>
      </c>
      <c r="D93" s="195">
        <v>58</v>
      </c>
      <c r="E93" s="215">
        <v>0</v>
      </c>
      <c r="F93" s="215">
        <v>1</v>
      </c>
      <c r="G93" s="682">
        <v>0</v>
      </c>
      <c r="H93" s="875" t="s">
        <v>480</v>
      </c>
      <c r="I93" s="748">
        <v>8</v>
      </c>
      <c r="K93" s="262"/>
      <c r="L93" s="262"/>
      <c r="M93" s="262"/>
      <c r="N93" s="262"/>
    </row>
    <row r="94" spans="1:14" ht="14.5" x14ac:dyDescent="0.35">
      <c r="A94" s="192" t="s">
        <v>10</v>
      </c>
      <c r="B94" s="193">
        <v>45673</v>
      </c>
      <c r="C94" s="209">
        <v>2564</v>
      </c>
      <c r="D94" s="213">
        <v>0</v>
      </c>
      <c r="E94" s="203">
        <v>1</v>
      </c>
      <c r="F94" s="203">
        <v>0</v>
      </c>
      <c r="G94" s="676">
        <v>2</v>
      </c>
      <c r="H94" s="874" t="s">
        <v>307</v>
      </c>
      <c r="I94" s="745">
        <v>13</v>
      </c>
      <c r="K94" s="262"/>
      <c r="L94" s="262"/>
      <c r="M94" s="262"/>
      <c r="N94" s="262"/>
    </row>
    <row r="95" spans="1:14" ht="14.5" x14ac:dyDescent="0.35">
      <c r="A95" s="192" t="s">
        <v>13</v>
      </c>
      <c r="B95" s="193">
        <v>45674</v>
      </c>
      <c r="C95" s="233">
        <v>2145</v>
      </c>
      <c r="D95" s="234">
        <v>0</v>
      </c>
      <c r="E95" s="215">
        <v>0</v>
      </c>
      <c r="F95" s="215">
        <v>0</v>
      </c>
      <c r="G95" s="682">
        <v>3</v>
      </c>
      <c r="H95" s="875" t="s">
        <v>481</v>
      </c>
      <c r="I95" s="748">
        <v>10</v>
      </c>
      <c r="K95" s="262"/>
      <c r="L95" s="262"/>
      <c r="M95" s="262"/>
      <c r="N95" s="262"/>
    </row>
    <row r="96" spans="1:14" ht="14.5" x14ac:dyDescent="0.35">
      <c r="A96" s="192" t="s">
        <v>16</v>
      </c>
      <c r="B96" s="193">
        <v>45675</v>
      </c>
      <c r="C96" s="237">
        <v>1317</v>
      </c>
      <c r="D96" s="270">
        <v>0</v>
      </c>
      <c r="E96" s="239">
        <v>4</v>
      </c>
      <c r="F96" s="239">
        <v>0</v>
      </c>
      <c r="G96" s="683">
        <v>3</v>
      </c>
      <c r="H96" s="881" t="s">
        <v>482</v>
      </c>
      <c r="I96" s="754">
        <v>17</v>
      </c>
      <c r="K96" s="262"/>
      <c r="L96" s="262"/>
      <c r="M96" s="262"/>
      <c r="N96" s="262"/>
    </row>
    <row r="97" spans="1:14" ht="14.5" x14ac:dyDescent="0.35">
      <c r="A97" s="192" t="s">
        <v>18</v>
      </c>
      <c r="B97" s="193">
        <v>45676</v>
      </c>
      <c r="C97" s="214"/>
      <c r="D97" s="195"/>
      <c r="E97" s="215"/>
      <c r="F97" s="215"/>
      <c r="G97" s="682"/>
      <c r="H97" s="875"/>
      <c r="I97" s="748"/>
      <c r="K97" s="262"/>
      <c r="L97" s="262"/>
      <c r="M97" s="262"/>
      <c r="N97" s="262"/>
    </row>
    <row r="98" spans="1:14" ht="14.5" x14ac:dyDescent="0.35">
      <c r="A98" s="192" t="s">
        <v>20</v>
      </c>
      <c r="B98" s="193">
        <v>45677</v>
      </c>
      <c r="C98" s="237">
        <v>4677</v>
      </c>
      <c r="D98" s="238">
        <v>58</v>
      </c>
      <c r="E98" s="239">
        <v>0</v>
      </c>
      <c r="F98" s="239">
        <v>0</v>
      </c>
      <c r="G98" s="683">
        <v>3</v>
      </c>
      <c r="H98" s="881" t="s">
        <v>483</v>
      </c>
      <c r="I98" s="754">
        <v>28</v>
      </c>
      <c r="K98" s="262"/>
      <c r="L98" s="262"/>
      <c r="M98" s="262"/>
      <c r="N98" s="262"/>
    </row>
    <row r="99" spans="1:14" ht="14.5" x14ac:dyDescent="0.35">
      <c r="A99" s="192" t="s">
        <v>22</v>
      </c>
      <c r="B99" s="193">
        <v>45678</v>
      </c>
      <c r="C99" s="205">
        <v>2223</v>
      </c>
      <c r="D99" s="206">
        <v>29</v>
      </c>
      <c r="E99" s="207">
        <v>0</v>
      </c>
      <c r="F99" s="207">
        <v>0</v>
      </c>
      <c r="G99" s="675">
        <v>0</v>
      </c>
      <c r="H99" s="872" t="s">
        <v>484</v>
      </c>
      <c r="I99" s="746">
        <v>4</v>
      </c>
      <c r="K99" s="262"/>
      <c r="L99" s="262"/>
      <c r="M99" s="262"/>
      <c r="N99" s="262"/>
    </row>
    <row r="100" spans="1:14" ht="14.5" x14ac:dyDescent="0.35">
      <c r="A100" s="192" t="s">
        <v>24</v>
      </c>
      <c r="B100" s="193">
        <v>45679</v>
      </c>
      <c r="C100" s="209">
        <v>469</v>
      </c>
      <c r="D100" s="210">
        <v>0</v>
      </c>
      <c r="E100" s="211">
        <v>0</v>
      </c>
      <c r="F100" s="211">
        <v>1</v>
      </c>
      <c r="G100" s="684">
        <v>1</v>
      </c>
      <c r="H100" s="873" t="s">
        <v>485</v>
      </c>
      <c r="I100" s="747">
        <v>11</v>
      </c>
      <c r="K100" s="262"/>
      <c r="L100" s="262"/>
      <c r="M100" s="262"/>
      <c r="N100" s="262"/>
    </row>
    <row r="101" spans="1:14" ht="14.5" x14ac:dyDescent="0.35">
      <c r="A101" s="192" t="s">
        <v>10</v>
      </c>
      <c r="B101" s="193">
        <v>45680</v>
      </c>
      <c r="C101" s="233">
        <v>3071</v>
      </c>
      <c r="D101" s="234">
        <v>55</v>
      </c>
      <c r="E101" s="235">
        <v>1</v>
      </c>
      <c r="F101" s="235">
        <v>0</v>
      </c>
      <c r="G101" s="681">
        <v>5</v>
      </c>
      <c r="H101" s="880" t="s">
        <v>486</v>
      </c>
      <c r="I101" s="753">
        <v>21</v>
      </c>
      <c r="K101" s="262"/>
      <c r="L101" s="262"/>
      <c r="M101" s="262"/>
      <c r="N101" s="262"/>
    </row>
    <row r="102" spans="1:14" ht="14.5" x14ac:dyDescent="0.35">
      <c r="A102" s="192" t="s">
        <v>13</v>
      </c>
      <c r="B102" s="193">
        <v>45681</v>
      </c>
      <c r="C102" s="237">
        <v>1607</v>
      </c>
      <c r="D102" s="238">
        <v>29</v>
      </c>
      <c r="E102" s="239">
        <v>0</v>
      </c>
      <c r="F102" s="239">
        <v>1</v>
      </c>
      <c r="G102" s="683">
        <v>1</v>
      </c>
      <c r="H102" s="881" t="s">
        <v>487</v>
      </c>
      <c r="I102" s="754">
        <v>13</v>
      </c>
      <c r="K102" s="262"/>
      <c r="L102" s="262"/>
      <c r="M102" s="262"/>
      <c r="N102" s="262"/>
    </row>
    <row r="103" spans="1:14" ht="14.5" x14ac:dyDescent="0.35">
      <c r="A103" s="192" t="s">
        <v>16</v>
      </c>
      <c r="B103" s="193">
        <v>45682</v>
      </c>
      <c r="C103" s="233">
        <v>2197</v>
      </c>
      <c r="D103" s="234">
        <v>58</v>
      </c>
      <c r="E103" s="235">
        <v>1</v>
      </c>
      <c r="F103" s="235">
        <v>0</v>
      </c>
      <c r="G103" s="681">
        <v>4</v>
      </c>
      <c r="H103" s="880" t="s">
        <v>488</v>
      </c>
      <c r="I103" s="753">
        <v>11</v>
      </c>
      <c r="K103" s="262"/>
      <c r="L103" s="262"/>
      <c r="M103" s="508"/>
      <c r="N103" s="262"/>
    </row>
    <row r="104" spans="1:14" ht="14.5" x14ac:dyDescent="0.35">
      <c r="A104" s="192" t="s">
        <v>18</v>
      </c>
      <c r="B104" s="193">
        <v>45683</v>
      </c>
      <c r="C104" s="209"/>
      <c r="D104" s="210"/>
      <c r="E104" s="211"/>
      <c r="F104" s="211"/>
      <c r="G104" s="684"/>
      <c r="H104" s="873"/>
      <c r="I104" s="747"/>
      <c r="M104" s="508"/>
      <c r="N104" s="262"/>
    </row>
    <row r="105" spans="1:14" ht="14.5" x14ac:dyDescent="0.35">
      <c r="A105" s="192" t="s">
        <v>20</v>
      </c>
      <c r="B105" s="193">
        <v>45684</v>
      </c>
      <c r="C105" s="214">
        <v>704</v>
      </c>
      <c r="D105" s="195">
        <v>58</v>
      </c>
      <c r="E105" s="215">
        <v>1</v>
      </c>
      <c r="F105" s="215">
        <v>0</v>
      </c>
      <c r="G105" s="697">
        <v>2</v>
      </c>
      <c r="H105" s="880" t="s">
        <v>489</v>
      </c>
      <c r="I105" s="756">
        <v>12</v>
      </c>
      <c r="M105" s="262"/>
      <c r="N105" s="262"/>
    </row>
    <row r="106" spans="1:14" ht="14.5" x14ac:dyDescent="0.35">
      <c r="A106" s="192" t="s">
        <v>22</v>
      </c>
      <c r="B106" s="193">
        <v>45685</v>
      </c>
      <c r="C106" s="212">
        <v>782</v>
      </c>
      <c r="D106" s="213">
        <v>58</v>
      </c>
      <c r="E106" s="203">
        <v>0</v>
      </c>
      <c r="F106" s="203">
        <v>0</v>
      </c>
      <c r="G106" s="676">
        <v>3</v>
      </c>
      <c r="H106" s="874" t="s">
        <v>490</v>
      </c>
      <c r="I106" s="745">
        <v>8</v>
      </c>
      <c r="M106" s="262"/>
      <c r="N106" s="262"/>
    </row>
    <row r="107" spans="1:14" ht="14.5" x14ac:dyDescent="0.35">
      <c r="A107" s="192" t="s">
        <v>24</v>
      </c>
      <c r="B107" s="193">
        <v>45686</v>
      </c>
      <c r="C107" s="233">
        <v>754</v>
      </c>
      <c r="D107" s="195">
        <v>53</v>
      </c>
      <c r="E107" s="215">
        <v>0</v>
      </c>
      <c r="F107" s="247">
        <v>0</v>
      </c>
      <c r="G107" s="682">
        <v>0</v>
      </c>
      <c r="H107" s="875" t="s">
        <v>491</v>
      </c>
      <c r="I107" s="748">
        <v>11</v>
      </c>
      <c r="M107" s="262"/>
      <c r="N107" s="262"/>
    </row>
    <row r="108" spans="1:14" ht="14.5" x14ac:dyDescent="0.35">
      <c r="A108" s="192" t="s">
        <v>10</v>
      </c>
      <c r="B108" s="193">
        <v>45687</v>
      </c>
      <c r="C108" s="212">
        <v>1034</v>
      </c>
      <c r="D108" s="213">
        <v>87</v>
      </c>
      <c r="E108" s="203">
        <v>1</v>
      </c>
      <c r="F108" s="203">
        <v>0</v>
      </c>
      <c r="G108" s="676">
        <v>1</v>
      </c>
      <c r="H108" s="874" t="s">
        <v>492</v>
      </c>
      <c r="I108" s="745">
        <v>5</v>
      </c>
      <c r="K108" s="262"/>
      <c r="L108" s="262"/>
      <c r="M108" s="262"/>
      <c r="N108" s="262"/>
    </row>
    <row r="109" spans="1:14" thickBot="1" x14ac:dyDescent="0.4">
      <c r="A109" s="192" t="s">
        <v>13</v>
      </c>
      <c r="B109" s="193">
        <v>45688</v>
      </c>
      <c r="C109" s="264">
        <v>3026</v>
      </c>
      <c r="D109" s="265">
        <v>115</v>
      </c>
      <c r="E109" s="266">
        <v>2</v>
      </c>
      <c r="F109" s="266">
        <v>0</v>
      </c>
      <c r="G109" s="687">
        <v>3</v>
      </c>
      <c r="H109" s="882" t="s">
        <v>493</v>
      </c>
      <c r="I109" s="755">
        <v>18</v>
      </c>
      <c r="K109" s="262"/>
      <c r="L109" s="262"/>
      <c r="M109" s="262"/>
      <c r="N109" s="262"/>
    </row>
    <row r="110" spans="1:14" thickBot="1" x14ac:dyDescent="0.4">
      <c r="A110" s="257"/>
      <c r="B110" s="268"/>
      <c r="C110" s="258">
        <f t="shared" ref="C110:F110" si="2">SUM(C79:C109)</f>
        <v>51074</v>
      </c>
      <c r="D110" s="259">
        <f t="shared" si="2"/>
        <v>1488.85</v>
      </c>
      <c r="E110" s="260">
        <f t="shared" si="2"/>
        <v>11</v>
      </c>
      <c r="F110" s="260">
        <f t="shared" si="2"/>
        <v>5</v>
      </c>
      <c r="G110" s="261">
        <f>SUM(G79:G109)</f>
        <v>45</v>
      </c>
      <c r="H110" s="709"/>
      <c r="I110" s="260"/>
      <c r="K110" s="262"/>
      <c r="L110" s="262"/>
      <c r="M110" s="262"/>
      <c r="N110" s="262"/>
    </row>
    <row r="111" spans="1:14" ht="16" x14ac:dyDescent="0.4">
      <c r="A111" s="262"/>
      <c r="B111" s="474"/>
      <c r="C111" s="508"/>
      <c r="D111" s="475"/>
      <c r="E111" s="511"/>
      <c r="F111" s="262"/>
      <c r="G111" s="262"/>
      <c r="H111" s="262"/>
      <c r="I111" s="262"/>
      <c r="J111" s="262"/>
      <c r="K111" s="349"/>
      <c r="L111" s="349"/>
      <c r="M111" s="262"/>
    </row>
    <row r="112" spans="1:14" ht="14.5" x14ac:dyDescent="0.35">
      <c r="A112" s="262"/>
      <c r="B112" s="474"/>
      <c r="C112" s="508"/>
      <c r="D112" s="475"/>
      <c r="E112" s="511"/>
      <c r="F112" s="262"/>
      <c r="G112" s="262"/>
      <c r="H112" s="262"/>
      <c r="I112" s="262"/>
      <c r="J112" s="262"/>
      <c r="M112" s="262"/>
    </row>
    <row r="113" spans="1:13" ht="16" x14ac:dyDescent="0.4">
      <c r="A113" s="262"/>
      <c r="B113" s="474"/>
      <c r="C113" s="508"/>
      <c r="D113" s="475"/>
      <c r="E113" s="511"/>
      <c r="F113" s="262"/>
      <c r="G113" s="262"/>
      <c r="H113" s="262"/>
      <c r="I113" s="349"/>
      <c r="J113" s="349"/>
      <c r="M113" s="262"/>
    </row>
    <row r="114" spans="1:13" ht="25" customHeight="1" thickBot="1" x14ac:dyDescent="0.4">
      <c r="A114" s="262"/>
      <c r="B114" s="474"/>
      <c r="C114" s="508"/>
      <c r="D114" s="475"/>
      <c r="E114" s="511"/>
      <c r="F114" s="262"/>
      <c r="G114" s="262"/>
      <c r="H114" s="262"/>
      <c r="I114" s="262"/>
      <c r="J114" s="262"/>
      <c r="M114" s="262"/>
    </row>
    <row r="115" spans="1:13" ht="16" customHeight="1" thickBot="1" x14ac:dyDescent="0.45">
      <c r="A115" s="2"/>
      <c r="B115" s="926" t="s">
        <v>70</v>
      </c>
      <c r="C115" s="928" t="s">
        <v>0</v>
      </c>
      <c r="D115" s="298" t="s">
        <v>2</v>
      </c>
      <c r="E115" s="771" t="s">
        <v>3</v>
      </c>
      <c r="F115" s="772" t="s">
        <v>4</v>
      </c>
      <c r="G115" s="774" t="s">
        <v>143</v>
      </c>
      <c r="H115" s="186" t="s">
        <v>6</v>
      </c>
      <c r="I115" s="773" t="s">
        <v>7</v>
      </c>
      <c r="M115" s="262"/>
    </row>
    <row r="116" spans="1:13" ht="29.15" customHeight="1" x14ac:dyDescent="0.4">
      <c r="A116" s="8"/>
      <c r="B116" s="927"/>
      <c r="C116" s="929"/>
      <c r="D116" s="299" t="s">
        <v>0</v>
      </c>
      <c r="E116" s="498" t="s">
        <v>0</v>
      </c>
      <c r="F116" s="772" t="s">
        <v>0</v>
      </c>
      <c r="G116" s="664" t="s">
        <v>0</v>
      </c>
      <c r="H116" s="710" t="s">
        <v>8</v>
      </c>
      <c r="I116" s="711" t="s">
        <v>9</v>
      </c>
      <c r="K116" s="517"/>
      <c r="L116" s="473"/>
      <c r="M116" s="262"/>
    </row>
    <row r="117" spans="1:13" ht="14.5" x14ac:dyDescent="0.35">
      <c r="A117" s="192" t="s">
        <v>24</v>
      </c>
      <c r="B117" s="193">
        <v>45658</v>
      </c>
      <c r="C117" s="194"/>
      <c r="D117" s="195"/>
      <c r="E117" s="196"/>
      <c r="F117" s="855"/>
      <c r="G117" s="727"/>
      <c r="H117" s="724"/>
      <c r="I117" s="744"/>
      <c r="K117" s="923" t="s">
        <v>12</v>
      </c>
      <c r="L117" s="923"/>
      <c r="M117" s="262"/>
    </row>
    <row r="118" spans="1:13" ht="14.5" x14ac:dyDescent="0.35">
      <c r="A118" s="192" t="s">
        <v>10</v>
      </c>
      <c r="B118" s="193">
        <v>45659</v>
      </c>
      <c r="C118" s="212">
        <v>1371</v>
      </c>
      <c r="D118" s="213">
        <v>30</v>
      </c>
      <c r="E118" s="203">
        <v>0</v>
      </c>
      <c r="F118" s="203">
        <v>1</v>
      </c>
      <c r="G118" s="611">
        <v>2</v>
      </c>
      <c r="H118" s="246" t="s">
        <v>494</v>
      </c>
      <c r="I118" s="745">
        <v>10</v>
      </c>
      <c r="K118" s="513" t="s">
        <v>15</v>
      </c>
      <c r="L118" s="409">
        <v>35000</v>
      </c>
      <c r="M118" s="262"/>
    </row>
    <row r="119" spans="1:13" ht="14.5" x14ac:dyDescent="0.35">
      <c r="A119" s="192" t="s">
        <v>13</v>
      </c>
      <c r="B119" s="193">
        <v>45660</v>
      </c>
      <c r="C119" s="205">
        <v>2644</v>
      </c>
      <c r="D119" s="206">
        <v>0</v>
      </c>
      <c r="E119" s="207">
        <v>0</v>
      </c>
      <c r="F119" s="207">
        <v>0</v>
      </c>
      <c r="G119" s="612">
        <v>1</v>
      </c>
      <c r="H119" s="619" t="s">
        <v>495</v>
      </c>
      <c r="I119" s="746">
        <v>20</v>
      </c>
      <c r="K119" s="504" t="s">
        <v>17</v>
      </c>
      <c r="L119" s="411">
        <v>1000</v>
      </c>
      <c r="M119" s="262"/>
    </row>
    <row r="120" spans="1:13" ht="14.5" x14ac:dyDescent="0.35">
      <c r="A120" s="192" t="s">
        <v>16</v>
      </c>
      <c r="B120" s="193">
        <v>45661</v>
      </c>
      <c r="C120" s="209">
        <v>2068</v>
      </c>
      <c r="D120" s="210">
        <v>55</v>
      </c>
      <c r="E120" s="211">
        <v>0</v>
      </c>
      <c r="F120" s="211">
        <v>0</v>
      </c>
      <c r="G120" s="287">
        <v>0</v>
      </c>
      <c r="H120" s="650" t="s">
        <v>496</v>
      </c>
      <c r="I120" s="747">
        <v>19</v>
      </c>
      <c r="K120" s="515" t="s">
        <v>19</v>
      </c>
      <c r="L120" s="413">
        <v>15</v>
      </c>
      <c r="M120" s="262"/>
    </row>
    <row r="121" spans="1:13" ht="14.5" x14ac:dyDescent="0.35">
      <c r="A121" s="192" t="s">
        <v>18</v>
      </c>
      <c r="B121" s="193">
        <v>45662</v>
      </c>
      <c r="C121" s="205"/>
      <c r="D121" s="206"/>
      <c r="E121" s="207"/>
      <c r="F121" s="207"/>
      <c r="G121" s="612"/>
      <c r="H121" s="642"/>
      <c r="I121" s="746"/>
      <c r="K121" s="838"/>
      <c r="L121" s="839"/>
      <c r="M121" s="262"/>
    </row>
    <row r="122" spans="1:13" ht="14.5" x14ac:dyDescent="0.35">
      <c r="A122" s="192" t="s">
        <v>20</v>
      </c>
      <c r="B122" s="193">
        <v>45663</v>
      </c>
      <c r="C122" s="212">
        <v>1885</v>
      </c>
      <c r="D122" s="213">
        <v>0</v>
      </c>
      <c r="E122" s="203">
        <v>2</v>
      </c>
      <c r="F122" s="203">
        <v>0</v>
      </c>
      <c r="G122" s="611">
        <v>2</v>
      </c>
      <c r="H122" s="641" t="s">
        <v>497</v>
      </c>
      <c r="I122" s="745">
        <v>12</v>
      </c>
      <c r="K122" s="517"/>
      <c r="L122" s="473"/>
      <c r="M122" s="262"/>
    </row>
    <row r="123" spans="1:13" ht="14.5" x14ac:dyDescent="0.35">
      <c r="A123" s="192" t="s">
        <v>22</v>
      </c>
      <c r="B123" s="193">
        <v>45664</v>
      </c>
      <c r="C123" s="214">
        <v>944</v>
      </c>
      <c r="D123" s="195">
        <v>0</v>
      </c>
      <c r="E123" s="215">
        <v>0</v>
      </c>
      <c r="F123" s="215">
        <v>0</v>
      </c>
      <c r="G123" s="615">
        <v>2</v>
      </c>
      <c r="H123" s="643" t="s">
        <v>498</v>
      </c>
      <c r="I123" s="748">
        <v>5</v>
      </c>
      <c r="K123" s="517"/>
      <c r="L123" s="473"/>
      <c r="M123" s="262"/>
    </row>
    <row r="124" spans="1:13" ht="14.5" x14ac:dyDescent="0.35">
      <c r="A124" s="192" t="s">
        <v>24</v>
      </c>
      <c r="B124" s="193">
        <v>45665</v>
      </c>
      <c r="C124" s="217">
        <v>1339</v>
      </c>
      <c r="D124" s="218">
        <v>0</v>
      </c>
      <c r="E124" s="219">
        <v>0</v>
      </c>
      <c r="F124" s="219">
        <v>0</v>
      </c>
      <c r="G124" s="691">
        <v>1</v>
      </c>
      <c r="H124" s="644" t="s">
        <v>178</v>
      </c>
      <c r="I124" s="749">
        <v>6</v>
      </c>
      <c r="K124" s="517"/>
      <c r="L124" s="473"/>
      <c r="M124" s="262"/>
    </row>
    <row r="125" spans="1:13" ht="14.5" x14ac:dyDescent="0.35">
      <c r="A125" s="192" t="s">
        <v>10</v>
      </c>
      <c r="B125" s="193">
        <v>45666</v>
      </c>
      <c r="C125" s="221">
        <v>1676</v>
      </c>
      <c r="D125" s="222">
        <v>0</v>
      </c>
      <c r="E125" s="223">
        <v>0</v>
      </c>
      <c r="F125" s="223">
        <v>0</v>
      </c>
      <c r="G125" s="692">
        <v>0</v>
      </c>
      <c r="H125" s="645" t="s">
        <v>499</v>
      </c>
      <c r="I125" s="750">
        <v>15</v>
      </c>
      <c r="K125" s="517"/>
      <c r="L125" s="473"/>
      <c r="M125" s="262"/>
    </row>
    <row r="126" spans="1:13" ht="14.5" x14ac:dyDescent="0.35">
      <c r="A126" s="192" t="s">
        <v>13</v>
      </c>
      <c r="B126" s="193">
        <v>45667</v>
      </c>
      <c r="C126" s="225">
        <v>1654</v>
      </c>
      <c r="D126" s="226">
        <v>75</v>
      </c>
      <c r="E126" s="227">
        <v>0</v>
      </c>
      <c r="F126" s="227">
        <v>0</v>
      </c>
      <c r="G126" s="693">
        <v>1</v>
      </c>
      <c r="H126" s="646" t="s">
        <v>500</v>
      </c>
      <c r="I126" s="751">
        <v>7</v>
      </c>
      <c r="K126" s="517"/>
      <c r="L126" s="473"/>
      <c r="M126" s="262"/>
    </row>
    <row r="127" spans="1:13" ht="14.5" x14ac:dyDescent="0.35">
      <c r="A127" s="192" t="s">
        <v>16</v>
      </c>
      <c r="B127" s="193">
        <v>45668</v>
      </c>
      <c r="C127" s="229">
        <v>1763</v>
      </c>
      <c r="D127" s="230">
        <v>0</v>
      </c>
      <c r="E127" s="231">
        <v>0</v>
      </c>
      <c r="F127" s="231">
        <v>0</v>
      </c>
      <c r="G127" s="694">
        <v>2</v>
      </c>
      <c r="H127" s="647" t="s">
        <v>501</v>
      </c>
      <c r="I127" s="752">
        <v>18</v>
      </c>
      <c r="K127" s="517"/>
      <c r="L127" s="473"/>
      <c r="M127" s="262"/>
    </row>
    <row r="128" spans="1:13" ht="14.5" x14ac:dyDescent="0.35">
      <c r="A128" s="192" t="s">
        <v>18</v>
      </c>
      <c r="B128" s="193">
        <v>45669</v>
      </c>
      <c r="C128" s="225"/>
      <c r="D128" s="226"/>
      <c r="E128" s="227"/>
      <c r="F128" s="227"/>
      <c r="G128" s="693"/>
      <c r="H128" s="646"/>
      <c r="I128" s="751"/>
      <c r="K128" s="262"/>
      <c r="L128" s="262"/>
      <c r="M128" s="262"/>
    </row>
    <row r="129" spans="1:13" ht="14.5" x14ac:dyDescent="0.35">
      <c r="A129" s="192" t="s">
        <v>20</v>
      </c>
      <c r="B129" s="193">
        <v>45670</v>
      </c>
      <c r="C129" s="233">
        <v>1173</v>
      </c>
      <c r="D129" s="234">
        <v>60</v>
      </c>
      <c r="E129" s="235">
        <v>0</v>
      </c>
      <c r="F129" s="235">
        <v>0</v>
      </c>
      <c r="G129" s="481">
        <v>0</v>
      </c>
      <c r="H129" s="648" t="s">
        <v>411</v>
      </c>
      <c r="I129" s="753">
        <v>10</v>
      </c>
      <c r="K129" s="262"/>
      <c r="L129" s="262"/>
      <c r="M129" s="262"/>
    </row>
    <row r="130" spans="1:13" ht="14.5" x14ac:dyDescent="0.35">
      <c r="A130" s="192" t="s">
        <v>22</v>
      </c>
      <c r="B130" s="193">
        <v>45671</v>
      </c>
      <c r="C130" s="225">
        <v>1237</v>
      </c>
      <c r="D130" s="226">
        <v>0</v>
      </c>
      <c r="E130" s="227">
        <v>0</v>
      </c>
      <c r="F130" s="227">
        <v>0</v>
      </c>
      <c r="G130" s="693">
        <v>1</v>
      </c>
      <c r="H130" s="646" t="s">
        <v>404</v>
      </c>
      <c r="I130" s="751">
        <v>4</v>
      </c>
      <c r="K130" s="262"/>
      <c r="L130" s="262"/>
      <c r="M130" s="262"/>
    </row>
    <row r="131" spans="1:13" ht="14.5" x14ac:dyDescent="0.35">
      <c r="A131" s="192" t="s">
        <v>24</v>
      </c>
      <c r="B131" s="193">
        <v>45672</v>
      </c>
      <c r="C131" s="233">
        <v>853</v>
      </c>
      <c r="D131" s="195">
        <v>0</v>
      </c>
      <c r="E131" s="215">
        <v>0</v>
      </c>
      <c r="F131" s="215">
        <v>0</v>
      </c>
      <c r="G131" s="615">
        <v>0</v>
      </c>
      <c r="H131" s="643" t="s">
        <v>404</v>
      </c>
      <c r="I131" s="748">
        <v>7</v>
      </c>
      <c r="K131" s="262"/>
      <c r="L131" s="262"/>
      <c r="M131" s="262"/>
    </row>
    <row r="132" spans="1:13" ht="14.5" x14ac:dyDescent="0.35">
      <c r="A132" s="192" t="s">
        <v>10</v>
      </c>
      <c r="B132" s="193">
        <v>45673</v>
      </c>
      <c r="C132" s="209">
        <v>868</v>
      </c>
      <c r="D132" s="213">
        <v>50</v>
      </c>
      <c r="E132" s="203">
        <v>0</v>
      </c>
      <c r="F132" s="203">
        <v>0</v>
      </c>
      <c r="G132" s="611">
        <v>0</v>
      </c>
      <c r="H132" s="641" t="s">
        <v>411</v>
      </c>
      <c r="I132" s="745">
        <v>6</v>
      </c>
      <c r="K132" s="262"/>
      <c r="L132" s="262"/>
      <c r="M132" s="262"/>
    </row>
    <row r="133" spans="1:13" ht="14.5" x14ac:dyDescent="0.35">
      <c r="A133" s="192" t="s">
        <v>13</v>
      </c>
      <c r="B133" s="193">
        <v>45674</v>
      </c>
      <c r="C133" s="233">
        <v>1911</v>
      </c>
      <c r="D133" s="234">
        <v>50</v>
      </c>
      <c r="E133" s="215">
        <v>0</v>
      </c>
      <c r="F133" s="215">
        <v>0</v>
      </c>
      <c r="G133" s="615">
        <v>0</v>
      </c>
      <c r="H133" s="643" t="s">
        <v>502</v>
      </c>
      <c r="I133" s="748">
        <v>9</v>
      </c>
      <c r="K133" s="262"/>
      <c r="L133" s="262"/>
      <c r="M133" s="262"/>
    </row>
    <row r="134" spans="1:13" ht="14.5" x14ac:dyDescent="0.35">
      <c r="A134" s="192" t="s">
        <v>16</v>
      </c>
      <c r="B134" s="193">
        <v>45675</v>
      </c>
      <c r="C134" s="237">
        <v>1388</v>
      </c>
      <c r="D134" s="270">
        <v>60</v>
      </c>
      <c r="E134" s="239">
        <v>0</v>
      </c>
      <c r="F134" s="239">
        <v>0</v>
      </c>
      <c r="G134" s="695">
        <v>2</v>
      </c>
      <c r="H134" s="649" t="s">
        <v>503</v>
      </c>
      <c r="I134" s="754">
        <v>15</v>
      </c>
      <c r="K134" s="262"/>
      <c r="L134" s="262"/>
      <c r="M134" s="262"/>
    </row>
    <row r="135" spans="1:13" ht="14.5" x14ac:dyDescent="0.35">
      <c r="A135" s="192" t="s">
        <v>18</v>
      </c>
      <c r="B135" s="193">
        <v>45676</v>
      </c>
      <c r="C135" s="214"/>
      <c r="D135" s="195"/>
      <c r="E135" s="215"/>
      <c r="F135" s="215"/>
      <c r="G135" s="615"/>
      <c r="H135" s="643"/>
      <c r="I135" s="748"/>
      <c r="K135" s="262"/>
      <c r="L135" s="262"/>
      <c r="M135" s="262"/>
    </row>
    <row r="136" spans="1:13" ht="14.5" x14ac:dyDescent="0.35">
      <c r="A136" s="192" t="s">
        <v>20</v>
      </c>
      <c r="B136" s="193">
        <v>45677</v>
      </c>
      <c r="C136" s="237">
        <v>1964</v>
      </c>
      <c r="D136" s="238">
        <v>60</v>
      </c>
      <c r="E136" s="239">
        <v>0</v>
      </c>
      <c r="F136" s="239">
        <v>0</v>
      </c>
      <c r="G136" s="695">
        <v>0</v>
      </c>
      <c r="H136" s="649" t="s">
        <v>504</v>
      </c>
      <c r="I136" s="754">
        <v>10</v>
      </c>
      <c r="K136" s="262"/>
      <c r="L136" s="262"/>
      <c r="M136" s="262"/>
    </row>
    <row r="137" spans="1:13" ht="14.5" x14ac:dyDescent="0.35">
      <c r="A137" s="192" t="s">
        <v>22</v>
      </c>
      <c r="B137" s="193">
        <v>45678</v>
      </c>
      <c r="C137" s="205">
        <v>1920</v>
      </c>
      <c r="D137" s="206">
        <v>30</v>
      </c>
      <c r="E137" s="207">
        <v>1</v>
      </c>
      <c r="F137" s="207">
        <v>0</v>
      </c>
      <c r="G137" s="612">
        <v>2</v>
      </c>
      <c r="H137" s="642" t="s">
        <v>505</v>
      </c>
      <c r="I137" s="746">
        <v>12</v>
      </c>
      <c r="K137" s="262"/>
      <c r="L137" s="262"/>
      <c r="M137" s="262"/>
    </row>
    <row r="138" spans="1:13" ht="14.5" x14ac:dyDescent="0.35">
      <c r="A138" s="192" t="s">
        <v>24</v>
      </c>
      <c r="B138" s="193">
        <v>45679</v>
      </c>
      <c r="C138" s="209">
        <v>394</v>
      </c>
      <c r="D138" s="210">
        <v>0</v>
      </c>
      <c r="E138" s="211">
        <v>0</v>
      </c>
      <c r="F138" s="211">
        <v>0</v>
      </c>
      <c r="G138" s="287">
        <v>0</v>
      </c>
      <c r="H138" s="650" t="s">
        <v>506</v>
      </c>
      <c r="I138" s="747">
        <v>1</v>
      </c>
      <c r="K138" s="262"/>
      <c r="L138" s="262"/>
      <c r="M138" s="262"/>
    </row>
    <row r="139" spans="1:13" ht="14.5" x14ac:dyDescent="0.35">
      <c r="A139" s="192" t="s">
        <v>10</v>
      </c>
      <c r="B139" s="193">
        <v>45680</v>
      </c>
      <c r="C139" s="233">
        <v>443</v>
      </c>
      <c r="D139" s="234">
        <v>0</v>
      </c>
      <c r="E139" s="235">
        <v>0</v>
      </c>
      <c r="F139" s="235">
        <v>0</v>
      </c>
      <c r="G139" s="481">
        <v>0</v>
      </c>
      <c r="H139" s="648" t="s">
        <v>506</v>
      </c>
      <c r="I139" s="753">
        <v>5</v>
      </c>
      <c r="K139" s="262"/>
      <c r="L139" s="262"/>
      <c r="M139" s="262"/>
    </row>
    <row r="140" spans="1:13" ht="14.5" x14ac:dyDescent="0.35">
      <c r="A140" s="192" t="s">
        <v>13</v>
      </c>
      <c r="B140" s="193">
        <v>45681</v>
      </c>
      <c r="C140" s="237">
        <v>1403</v>
      </c>
      <c r="D140" s="238">
        <v>50</v>
      </c>
      <c r="E140" s="239">
        <v>0</v>
      </c>
      <c r="F140" s="239">
        <v>0</v>
      </c>
      <c r="G140" s="695">
        <v>1</v>
      </c>
      <c r="H140" s="649" t="s">
        <v>507</v>
      </c>
      <c r="I140" s="754">
        <v>12</v>
      </c>
      <c r="K140" s="262"/>
      <c r="L140" s="262"/>
      <c r="M140" s="262"/>
    </row>
    <row r="141" spans="1:13" ht="14.5" x14ac:dyDescent="0.35">
      <c r="A141" s="192" t="s">
        <v>16</v>
      </c>
      <c r="B141" s="193">
        <v>45682</v>
      </c>
      <c r="C141" s="233">
        <v>1437</v>
      </c>
      <c r="D141" s="234">
        <v>25</v>
      </c>
      <c r="E141" s="235">
        <v>0</v>
      </c>
      <c r="F141" s="235">
        <v>0</v>
      </c>
      <c r="G141" s="481">
        <v>1</v>
      </c>
      <c r="H141" s="648" t="s">
        <v>508</v>
      </c>
      <c r="I141" s="753">
        <v>11</v>
      </c>
      <c r="K141" s="262"/>
      <c r="L141" s="262"/>
      <c r="M141" s="262"/>
    </row>
    <row r="142" spans="1:13" ht="14.5" x14ac:dyDescent="0.35">
      <c r="A142" s="192" t="s">
        <v>18</v>
      </c>
      <c r="B142" s="193">
        <v>45683</v>
      </c>
      <c r="C142" s="209"/>
      <c r="D142" s="210"/>
      <c r="E142" s="211"/>
      <c r="F142" s="211"/>
      <c r="G142" s="287"/>
      <c r="H142" s="650"/>
      <c r="I142" s="747"/>
      <c r="K142" s="262"/>
      <c r="L142" s="262"/>
      <c r="M142" s="262"/>
    </row>
    <row r="143" spans="1:13" ht="14.5" x14ac:dyDescent="0.35">
      <c r="A143" s="192" t="s">
        <v>20</v>
      </c>
      <c r="B143" s="193">
        <v>45684</v>
      </c>
      <c r="C143" s="214">
        <v>1624</v>
      </c>
      <c r="D143" s="195">
        <v>0</v>
      </c>
      <c r="E143" s="215">
        <v>1</v>
      </c>
      <c r="F143" s="215">
        <v>0</v>
      </c>
      <c r="G143" s="262">
        <v>0</v>
      </c>
      <c r="H143" s="648" t="s">
        <v>508</v>
      </c>
      <c r="I143" s="756">
        <v>8</v>
      </c>
      <c r="K143" s="262"/>
      <c r="L143" s="262"/>
      <c r="M143" s="262"/>
    </row>
    <row r="144" spans="1:13" ht="14.5" x14ac:dyDescent="0.35">
      <c r="A144" s="192" t="s">
        <v>22</v>
      </c>
      <c r="B144" s="193">
        <v>45685</v>
      </c>
      <c r="C144" s="212">
        <v>1910</v>
      </c>
      <c r="D144" s="213">
        <v>60</v>
      </c>
      <c r="E144" s="203">
        <v>0</v>
      </c>
      <c r="F144" s="203">
        <v>0</v>
      </c>
      <c r="G144" s="611">
        <v>0</v>
      </c>
      <c r="H144" s="641" t="s">
        <v>509</v>
      </c>
      <c r="I144" s="745">
        <v>7</v>
      </c>
      <c r="K144" s="262"/>
      <c r="L144" s="262"/>
      <c r="M144" s="262"/>
    </row>
    <row r="145" spans="1:13" ht="14.5" x14ac:dyDescent="0.35">
      <c r="A145" s="192" t="s">
        <v>24</v>
      </c>
      <c r="B145" s="193">
        <v>45686</v>
      </c>
      <c r="C145" s="233">
        <v>705</v>
      </c>
      <c r="D145" s="195">
        <v>0</v>
      </c>
      <c r="E145" s="215">
        <v>0</v>
      </c>
      <c r="F145" s="247">
        <v>0</v>
      </c>
      <c r="G145" s="615">
        <v>1</v>
      </c>
      <c r="H145" s="643" t="s">
        <v>510</v>
      </c>
      <c r="I145" s="748">
        <v>8</v>
      </c>
      <c r="K145" s="262"/>
      <c r="L145" s="262"/>
      <c r="M145" s="262"/>
    </row>
    <row r="146" spans="1:13" ht="14.5" x14ac:dyDescent="0.35">
      <c r="A146" s="192" t="s">
        <v>10</v>
      </c>
      <c r="B146" s="193">
        <v>45687</v>
      </c>
      <c r="C146" s="212">
        <v>1512</v>
      </c>
      <c r="D146" s="213">
        <v>0</v>
      </c>
      <c r="E146" s="203">
        <v>0</v>
      </c>
      <c r="F146" s="203">
        <v>0</v>
      </c>
      <c r="G146" s="611">
        <v>0</v>
      </c>
      <c r="H146" s="641" t="s">
        <v>511</v>
      </c>
      <c r="I146" s="745">
        <v>8</v>
      </c>
      <c r="K146" s="262"/>
      <c r="L146" s="262"/>
      <c r="M146" s="262"/>
    </row>
    <row r="147" spans="1:13" thickBot="1" x14ac:dyDescent="0.4">
      <c r="A147" s="192" t="s">
        <v>13</v>
      </c>
      <c r="B147" s="193">
        <v>45688</v>
      </c>
      <c r="C147" s="264">
        <v>643</v>
      </c>
      <c r="D147" s="265">
        <v>0</v>
      </c>
      <c r="E147" s="266">
        <v>0</v>
      </c>
      <c r="F147" s="266">
        <v>0</v>
      </c>
      <c r="G147" s="696">
        <v>2</v>
      </c>
      <c r="H147" s="712" t="s">
        <v>512</v>
      </c>
      <c r="I147" s="755">
        <v>9</v>
      </c>
      <c r="K147" s="262"/>
      <c r="L147" s="262"/>
      <c r="M147" s="262"/>
    </row>
    <row r="148" spans="1:13" thickBot="1" x14ac:dyDescent="0.4">
      <c r="A148" s="257"/>
      <c r="B148" s="268"/>
      <c r="C148" s="258">
        <f t="shared" ref="C148:F148" si="3">SUM(C117:C147)</f>
        <v>36729</v>
      </c>
      <c r="D148" s="259">
        <f t="shared" si="3"/>
        <v>605</v>
      </c>
      <c r="E148" s="260">
        <f t="shared" si="3"/>
        <v>4</v>
      </c>
      <c r="F148" s="260">
        <f t="shared" si="3"/>
        <v>1</v>
      </c>
      <c r="G148" s="260">
        <f>SUM(G117:G147)</f>
        <v>21</v>
      </c>
      <c r="H148" s="261"/>
      <c r="I148" s="261"/>
      <c r="K148" s="262"/>
      <c r="L148" s="262"/>
      <c r="M148" s="262"/>
    </row>
    <row r="149" spans="1:13" ht="14.5" x14ac:dyDescent="0.35">
      <c r="A149" s="262"/>
      <c r="B149" s="474"/>
      <c r="C149" s="475"/>
      <c r="D149" s="475"/>
      <c r="E149" s="476"/>
      <c r="F149" s="476"/>
      <c r="G149" s="477"/>
      <c r="H149" s="477"/>
      <c r="I149" s="262"/>
      <c r="J149" s="262"/>
      <c r="K149" s="262"/>
      <c r="L149" s="262"/>
      <c r="M149" s="262"/>
    </row>
    <row r="150" spans="1:13" ht="14.5" x14ac:dyDescent="0.35">
      <c r="A150" s="262"/>
      <c r="B150" s="474"/>
      <c r="C150" s="475"/>
      <c r="D150" s="475"/>
      <c r="E150" s="477"/>
      <c r="F150" s="477"/>
      <c r="G150" s="477"/>
      <c r="H150" s="477"/>
      <c r="I150" s="262"/>
      <c r="J150" s="262"/>
      <c r="K150" s="262"/>
      <c r="L150" s="262"/>
      <c r="M150" s="262"/>
    </row>
    <row r="151" spans="1:13" thickBot="1" x14ac:dyDescent="0.4">
      <c r="A151" s="262"/>
      <c r="B151" s="474"/>
      <c r="C151" s="475"/>
      <c r="D151" s="475"/>
      <c r="E151" s="477"/>
      <c r="F151" s="477"/>
      <c r="G151" s="477"/>
      <c r="H151" s="477"/>
      <c r="I151" s="262"/>
      <c r="J151" s="262"/>
      <c r="K151" s="262"/>
      <c r="L151" s="262"/>
      <c r="M151" s="262"/>
    </row>
    <row r="152" spans="1:13" thickBot="1" x14ac:dyDescent="0.4">
      <c r="A152" s="924" t="s">
        <v>85</v>
      </c>
      <c r="B152" s="924"/>
      <c r="C152" s="919" t="s">
        <v>1</v>
      </c>
      <c r="D152" s="919"/>
      <c r="E152" s="919"/>
      <c r="F152" s="857"/>
      <c r="G152" s="857"/>
      <c r="H152" s="262"/>
      <c r="I152" s="262"/>
      <c r="J152" s="262"/>
      <c r="K152" s="262"/>
      <c r="L152" s="262"/>
      <c r="M152" s="262"/>
    </row>
    <row r="153" spans="1:13" thickBot="1" x14ac:dyDescent="0.4">
      <c r="A153" s="924"/>
      <c r="B153" s="924"/>
      <c r="C153" s="920"/>
      <c r="D153" s="920"/>
      <c r="E153" s="920"/>
      <c r="F153" s="856"/>
      <c r="G153" s="262"/>
      <c r="H153" s="262"/>
      <c r="I153" s="262"/>
      <c r="J153" s="262"/>
      <c r="K153" s="262"/>
      <c r="L153" s="262"/>
      <c r="M153" s="262"/>
    </row>
    <row r="154" spans="1:13" ht="14.5" customHeight="1" thickBot="1" x14ac:dyDescent="0.45">
      <c r="A154" s="924"/>
      <c r="B154" s="924"/>
      <c r="C154" s="921" t="s">
        <v>88</v>
      </c>
      <c r="D154" s="272" t="s">
        <v>89</v>
      </c>
      <c r="E154" s="273" t="s">
        <v>90</v>
      </c>
      <c r="F154" s="767" t="s">
        <v>91</v>
      </c>
      <c r="G154" s="262"/>
      <c r="H154" s="262"/>
      <c r="I154" s="262"/>
      <c r="J154" s="262"/>
      <c r="K154" s="262"/>
      <c r="L154" s="262"/>
    </row>
    <row r="155" spans="1:13" ht="15" customHeight="1" x14ac:dyDescent="0.35">
      <c r="A155" s="925"/>
      <c r="B155" s="925"/>
      <c r="C155" s="922"/>
      <c r="D155" s="840" t="s">
        <v>7</v>
      </c>
      <c r="E155" s="841" t="s">
        <v>0</v>
      </c>
      <c r="F155" s="768" t="s">
        <v>0</v>
      </c>
      <c r="G155" s="262"/>
      <c r="H155" s="262"/>
      <c r="I155" s="262"/>
      <c r="J155" s="262"/>
      <c r="K155" s="262"/>
      <c r="L155" s="262"/>
    </row>
    <row r="156" spans="1:13" ht="16" customHeight="1" x14ac:dyDescent="0.35">
      <c r="A156" s="192" t="s">
        <v>24</v>
      </c>
      <c r="B156" s="193">
        <v>45658</v>
      </c>
      <c r="C156" s="285"/>
      <c r="D156" s="262"/>
      <c r="E156" s="682"/>
      <c r="F156" s="616"/>
      <c r="G156" s="262"/>
      <c r="H156" s="262"/>
      <c r="I156" s="262"/>
      <c r="J156" s="262"/>
      <c r="K156" s="262"/>
      <c r="L156" s="262"/>
    </row>
    <row r="157" spans="1:13" ht="14.5" customHeight="1" x14ac:dyDescent="0.35">
      <c r="A157" s="192" t="s">
        <v>10</v>
      </c>
      <c r="B157" s="193">
        <v>45659</v>
      </c>
      <c r="C157" s="280">
        <v>350</v>
      </c>
      <c r="D157" s="197">
        <v>8</v>
      </c>
      <c r="E157" s="675">
        <v>0</v>
      </c>
      <c r="F157" s="613">
        <v>0</v>
      </c>
      <c r="G157" s="262"/>
      <c r="H157" s="262"/>
      <c r="I157" s="262"/>
      <c r="J157" s="262"/>
      <c r="K157" s="262"/>
      <c r="L157" s="262"/>
    </row>
    <row r="158" spans="1:13" ht="14.5" x14ac:dyDescent="0.35">
      <c r="A158" s="192" t="s">
        <v>13</v>
      </c>
      <c r="B158" s="193">
        <v>45660</v>
      </c>
      <c r="C158" s="479">
        <v>1552</v>
      </c>
      <c r="D158" s="262">
        <v>15</v>
      </c>
      <c r="E158" s="681">
        <v>0</v>
      </c>
      <c r="F158" s="713">
        <v>1</v>
      </c>
      <c r="G158" s="262"/>
      <c r="H158" s="262"/>
      <c r="I158" s="262"/>
      <c r="J158" s="262"/>
      <c r="K158" s="262"/>
      <c r="L158" s="262"/>
    </row>
    <row r="159" spans="1:13" ht="14.5" x14ac:dyDescent="0.35">
      <c r="A159" s="192" t="s">
        <v>16</v>
      </c>
      <c r="B159" s="193">
        <v>45661</v>
      </c>
      <c r="C159" s="280">
        <v>300</v>
      </c>
      <c r="D159" s="197">
        <v>10</v>
      </c>
      <c r="E159" s="675">
        <v>0</v>
      </c>
      <c r="F159" s="613">
        <v>0</v>
      </c>
      <c r="G159" s="262"/>
      <c r="H159" s="262"/>
      <c r="I159" s="262"/>
      <c r="J159" s="262"/>
      <c r="K159" s="262"/>
      <c r="L159" s="262"/>
    </row>
    <row r="160" spans="1:13" ht="14.5" x14ac:dyDescent="0.35">
      <c r="A160" s="192" t="s">
        <v>18</v>
      </c>
      <c r="B160" s="193">
        <v>45662</v>
      </c>
      <c r="C160" s="283"/>
      <c r="D160" s="262"/>
      <c r="E160" s="682"/>
      <c r="F160" s="616"/>
      <c r="G160" s="262"/>
      <c r="H160" s="262"/>
      <c r="I160" s="262"/>
      <c r="J160" s="262"/>
      <c r="K160" s="262"/>
      <c r="L160" s="262"/>
    </row>
    <row r="161" spans="1:12" ht="14.5" x14ac:dyDescent="0.35">
      <c r="A161" s="192" t="s">
        <v>20</v>
      </c>
      <c r="B161" s="193">
        <v>45663</v>
      </c>
      <c r="C161" s="283">
        <v>2814</v>
      </c>
      <c r="D161" s="197">
        <v>9</v>
      </c>
      <c r="E161" s="682">
        <v>0</v>
      </c>
      <c r="F161" s="616">
        <v>0</v>
      </c>
      <c r="G161" s="262"/>
      <c r="H161" s="262"/>
      <c r="I161" s="262"/>
      <c r="J161" s="262"/>
      <c r="K161" s="262"/>
      <c r="L161" s="262"/>
    </row>
    <row r="162" spans="1:12" ht="14.5" x14ac:dyDescent="0.35">
      <c r="A162" s="192" t="s">
        <v>22</v>
      </c>
      <c r="B162" s="193">
        <v>45664</v>
      </c>
      <c r="C162" s="480">
        <v>615</v>
      </c>
      <c r="D162" s="262">
        <v>10</v>
      </c>
      <c r="E162" s="680">
        <v>0</v>
      </c>
      <c r="F162" s="714">
        <v>0</v>
      </c>
      <c r="G162" s="262"/>
      <c r="H162" s="262"/>
      <c r="I162" s="262"/>
      <c r="J162" s="262"/>
      <c r="K162" s="262"/>
      <c r="L162" s="262"/>
    </row>
    <row r="163" spans="1:12" ht="14.5" x14ac:dyDescent="0.35">
      <c r="A163" s="192" t="s">
        <v>24</v>
      </c>
      <c r="B163" s="193">
        <v>45665</v>
      </c>
      <c r="C163" s="285">
        <v>1271</v>
      </c>
      <c r="D163" s="197">
        <v>11</v>
      </c>
      <c r="E163" s="678">
        <v>1</v>
      </c>
      <c r="F163" s="715">
        <v>0</v>
      </c>
      <c r="G163" s="262"/>
      <c r="H163" s="262"/>
      <c r="I163" s="262"/>
      <c r="J163" s="262"/>
      <c r="K163" s="262"/>
      <c r="L163" s="262"/>
    </row>
    <row r="164" spans="1:12" ht="14.5" x14ac:dyDescent="0.35">
      <c r="A164" s="192" t="s">
        <v>10</v>
      </c>
      <c r="B164" s="193">
        <v>45666</v>
      </c>
      <c r="C164" s="285">
        <v>3436</v>
      </c>
      <c r="D164" s="262">
        <v>13</v>
      </c>
      <c r="E164" s="678">
        <v>0</v>
      </c>
      <c r="F164" s="715">
        <v>0</v>
      </c>
      <c r="G164" s="262"/>
      <c r="H164" s="262"/>
      <c r="I164" s="262"/>
      <c r="J164" s="262"/>
      <c r="K164" s="262"/>
      <c r="L164" s="262"/>
    </row>
    <row r="165" spans="1:12" ht="14.5" x14ac:dyDescent="0.35">
      <c r="A165" s="192" t="s">
        <v>13</v>
      </c>
      <c r="B165" s="193">
        <v>45667</v>
      </c>
      <c r="C165" s="285">
        <v>1072</v>
      </c>
      <c r="D165" s="197">
        <v>12</v>
      </c>
      <c r="E165" s="680">
        <v>0</v>
      </c>
      <c r="F165" s="714">
        <v>0</v>
      </c>
      <c r="G165" s="262"/>
      <c r="H165" s="262"/>
      <c r="I165" s="262"/>
      <c r="J165" s="262"/>
      <c r="K165" s="262"/>
      <c r="L165" s="262"/>
    </row>
    <row r="166" spans="1:12" ht="14.5" x14ac:dyDescent="0.35">
      <c r="A166" s="192" t="s">
        <v>16</v>
      </c>
      <c r="B166" s="193">
        <v>45668</v>
      </c>
      <c r="C166" s="285">
        <v>2249</v>
      </c>
      <c r="D166" s="262">
        <v>7</v>
      </c>
      <c r="E166" s="678">
        <v>0</v>
      </c>
      <c r="F166" s="715">
        <v>0</v>
      </c>
      <c r="G166" s="262"/>
      <c r="H166" s="262"/>
      <c r="I166" s="262"/>
      <c r="J166" s="262"/>
      <c r="K166" s="262"/>
      <c r="L166" s="262"/>
    </row>
    <row r="167" spans="1:12" ht="14.5" customHeight="1" x14ac:dyDescent="0.35">
      <c r="A167" s="192" t="s">
        <v>18</v>
      </c>
      <c r="B167" s="193">
        <v>45669</v>
      </c>
      <c r="C167" s="285"/>
      <c r="D167" s="197"/>
      <c r="E167" s="681"/>
      <c r="F167" s="713"/>
      <c r="G167" s="262"/>
      <c r="H167" s="262"/>
      <c r="I167" s="262"/>
      <c r="J167" s="262"/>
      <c r="K167" s="262"/>
      <c r="L167" s="262"/>
    </row>
    <row r="168" spans="1:12" ht="15" customHeight="1" x14ac:dyDescent="0.35">
      <c r="A168" s="192" t="s">
        <v>20</v>
      </c>
      <c r="B168" s="193">
        <v>45670</v>
      </c>
      <c r="C168" s="285">
        <v>3432</v>
      </c>
      <c r="D168" s="262">
        <v>8</v>
      </c>
      <c r="E168" s="678">
        <v>0</v>
      </c>
      <c r="F168" s="715">
        <v>0</v>
      </c>
      <c r="G168" s="262"/>
      <c r="H168" s="262"/>
      <c r="I168" s="262"/>
      <c r="J168" s="262"/>
      <c r="K168" s="262"/>
      <c r="L168" s="262"/>
    </row>
    <row r="169" spans="1:12" ht="16" customHeight="1" x14ac:dyDescent="0.35">
      <c r="A169" s="192" t="s">
        <v>22</v>
      </c>
      <c r="B169" s="193">
        <v>45671</v>
      </c>
      <c r="C169" s="285">
        <v>620</v>
      </c>
      <c r="D169" s="197">
        <v>11</v>
      </c>
      <c r="E169" s="681">
        <v>0</v>
      </c>
      <c r="F169" s="713">
        <v>0</v>
      </c>
      <c r="G169" s="262"/>
      <c r="H169" s="262"/>
      <c r="I169" s="262"/>
      <c r="J169" s="262"/>
      <c r="K169" s="262"/>
      <c r="L169" s="262"/>
    </row>
    <row r="170" spans="1:12" ht="14.5" customHeight="1" x14ac:dyDescent="0.35">
      <c r="A170" s="192" t="s">
        <v>24</v>
      </c>
      <c r="B170" s="193">
        <v>45672</v>
      </c>
      <c r="C170" s="285">
        <v>750</v>
      </c>
      <c r="D170" s="262">
        <v>12</v>
      </c>
      <c r="E170" s="682">
        <v>0</v>
      </c>
      <c r="F170" s="616">
        <v>0</v>
      </c>
      <c r="G170" s="262"/>
      <c r="H170" s="262"/>
      <c r="I170" s="262"/>
      <c r="J170" s="262"/>
      <c r="K170" s="262"/>
      <c r="L170" s="262"/>
    </row>
    <row r="171" spans="1:12" ht="14.5" x14ac:dyDescent="0.35">
      <c r="A171" s="192" t="s">
        <v>10</v>
      </c>
      <c r="B171" s="193">
        <v>45673</v>
      </c>
      <c r="C171" s="285">
        <v>1852</v>
      </c>
      <c r="D171" s="286">
        <v>12</v>
      </c>
      <c r="E171" s="681">
        <v>0</v>
      </c>
      <c r="F171" s="713">
        <v>0</v>
      </c>
      <c r="G171" s="262"/>
      <c r="H171" s="262"/>
      <c r="I171" s="262"/>
      <c r="J171" s="262"/>
      <c r="K171" s="262"/>
      <c r="L171" s="262"/>
    </row>
    <row r="172" spans="1:12" ht="14.5" x14ac:dyDescent="0.35">
      <c r="A172" s="192" t="s">
        <v>13</v>
      </c>
      <c r="B172" s="193">
        <v>45674</v>
      </c>
      <c r="C172" s="285">
        <v>270</v>
      </c>
      <c r="D172" s="481">
        <v>9</v>
      </c>
      <c r="E172" s="675">
        <v>0</v>
      </c>
      <c r="F172" s="613">
        <v>0</v>
      </c>
      <c r="G172" s="262"/>
      <c r="H172" s="262"/>
      <c r="I172" s="262"/>
      <c r="J172" s="262"/>
      <c r="K172" s="262"/>
      <c r="L172" s="262"/>
    </row>
    <row r="173" spans="1:12" ht="14.5" x14ac:dyDescent="0.35">
      <c r="A173" s="192" t="s">
        <v>16</v>
      </c>
      <c r="B173" s="193">
        <v>45675</v>
      </c>
      <c r="C173" s="285">
        <v>320</v>
      </c>
      <c r="D173" s="288">
        <v>10</v>
      </c>
      <c r="E173" s="682">
        <v>0</v>
      </c>
      <c r="F173" s="616">
        <v>2</v>
      </c>
      <c r="G173" s="262"/>
      <c r="H173" s="262"/>
      <c r="I173" s="262"/>
      <c r="J173" s="262"/>
      <c r="K173" s="262"/>
      <c r="L173" s="262"/>
    </row>
    <row r="174" spans="1:12" ht="15.65" customHeight="1" x14ac:dyDescent="0.35">
      <c r="A174" s="192" t="s">
        <v>18</v>
      </c>
      <c r="B174" s="193">
        <v>45676</v>
      </c>
      <c r="C174" s="285"/>
      <c r="D174" s="481"/>
      <c r="E174" s="675"/>
      <c r="F174" s="613"/>
      <c r="G174" s="262"/>
      <c r="H174" s="262"/>
      <c r="I174" s="262"/>
      <c r="J174" s="262"/>
      <c r="K174" s="262"/>
      <c r="L174" s="262"/>
    </row>
    <row r="175" spans="1:12" ht="14.5" x14ac:dyDescent="0.35">
      <c r="A175" s="192" t="s">
        <v>20</v>
      </c>
      <c r="B175" s="193">
        <v>45677</v>
      </c>
      <c r="C175" s="285">
        <v>1713</v>
      </c>
      <c r="D175" s="286">
        <v>9</v>
      </c>
      <c r="E175" s="675">
        <v>0</v>
      </c>
      <c r="F175" s="613">
        <v>2</v>
      </c>
      <c r="G175" s="262"/>
      <c r="H175" s="262"/>
      <c r="I175" s="262"/>
      <c r="J175" s="262"/>
      <c r="K175" s="262"/>
      <c r="L175" s="262"/>
    </row>
    <row r="176" spans="1:12" ht="14.5" x14ac:dyDescent="0.35">
      <c r="A176" s="192" t="s">
        <v>22</v>
      </c>
      <c r="B176" s="193">
        <v>45678</v>
      </c>
      <c r="C176" s="285">
        <v>2752</v>
      </c>
      <c r="D176" s="481">
        <v>9</v>
      </c>
      <c r="E176" s="681">
        <v>0</v>
      </c>
      <c r="F176" s="713">
        <v>0</v>
      </c>
      <c r="G176" s="262"/>
      <c r="H176" s="262"/>
      <c r="I176" s="262"/>
      <c r="J176" s="262"/>
      <c r="K176" s="262"/>
      <c r="L176" s="262"/>
    </row>
    <row r="177" spans="1:13" ht="14.5" x14ac:dyDescent="0.35">
      <c r="A177" s="192" t="s">
        <v>24</v>
      </c>
      <c r="B177" s="193">
        <v>45679</v>
      </c>
      <c r="C177" s="285">
        <v>2568</v>
      </c>
      <c r="D177" s="286">
        <v>12</v>
      </c>
      <c r="E177" s="681">
        <v>2</v>
      </c>
      <c r="F177" s="713">
        <v>2</v>
      </c>
      <c r="G177" s="262"/>
      <c r="H177" s="262"/>
      <c r="I177" s="262"/>
      <c r="J177" s="262"/>
      <c r="K177" s="262"/>
      <c r="L177" s="262"/>
    </row>
    <row r="178" spans="1:13" ht="14.5" x14ac:dyDescent="0.35">
      <c r="A178" s="192" t="s">
        <v>10</v>
      </c>
      <c r="B178" s="193">
        <v>45680</v>
      </c>
      <c r="C178" s="285">
        <v>887</v>
      </c>
      <c r="D178" s="481">
        <v>11</v>
      </c>
      <c r="E178" s="675">
        <v>2</v>
      </c>
      <c r="F178" s="613">
        <v>0</v>
      </c>
      <c r="G178" s="262"/>
      <c r="H178" s="262"/>
      <c r="I178" s="262"/>
      <c r="J178" s="262"/>
      <c r="K178" s="262"/>
      <c r="L178" s="262"/>
    </row>
    <row r="179" spans="1:13" ht="14.5" x14ac:dyDescent="0.35">
      <c r="A179" s="192" t="s">
        <v>13</v>
      </c>
      <c r="B179" s="193">
        <v>45681</v>
      </c>
      <c r="C179" s="285">
        <v>1822</v>
      </c>
      <c r="D179" s="286">
        <v>7</v>
      </c>
      <c r="E179" s="681">
        <v>1</v>
      </c>
      <c r="F179" s="713">
        <v>1</v>
      </c>
      <c r="G179" s="262"/>
      <c r="H179" s="262"/>
      <c r="I179" s="262"/>
      <c r="J179" s="262"/>
      <c r="K179" s="262"/>
      <c r="L179" s="262"/>
    </row>
    <row r="180" spans="1:13" ht="14.5" x14ac:dyDescent="0.35">
      <c r="A180" s="192" t="s">
        <v>16</v>
      </c>
      <c r="B180" s="193">
        <v>45682</v>
      </c>
      <c r="C180" s="482">
        <v>397</v>
      </c>
      <c r="D180" s="481">
        <v>7</v>
      </c>
      <c r="E180" s="681">
        <v>0</v>
      </c>
      <c r="F180" s="713">
        <v>0</v>
      </c>
      <c r="G180" s="262"/>
      <c r="H180" s="262"/>
      <c r="I180" s="262"/>
      <c r="J180" s="262"/>
      <c r="K180" s="262"/>
      <c r="L180" s="262"/>
    </row>
    <row r="181" spans="1:13" ht="14.5" x14ac:dyDescent="0.35">
      <c r="A181" s="192" t="s">
        <v>18</v>
      </c>
      <c r="B181" s="193">
        <v>45683</v>
      </c>
      <c r="C181" s="290"/>
      <c r="D181" s="286"/>
      <c r="E181" s="682"/>
      <c r="F181" s="616"/>
      <c r="G181" s="262"/>
      <c r="H181" s="262"/>
      <c r="I181" s="262"/>
      <c r="J181" s="262"/>
      <c r="K181" s="262"/>
      <c r="L181" s="262"/>
    </row>
    <row r="182" spans="1:13" ht="14.5" x14ac:dyDescent="0.35">
      <c r="A182" s="192" t="s">
        <v>20</v>
      </c>
      <c r="B182" s="193">
        <v>45684</v>
      </c>
      <c r="C182" s="290">
        <v>1913</v>
      </c>
      <c r="D182" s="481">
        <v>10</v>
      </c>
      <c r="E182" s="682">
        <v>0</v>
      </c>
      <c r="F182" s="616">
        <v>1</v>
      </c>
      <c r="G182" s="262"/>
      <c r="H182" s="262"/>
      <c r="I182" s="262"/>
      <c r="J182" s="262"/>
      <c r="K182" s="262"/>
      <c r="L182" s="262"/>
    </row>
    <row r="183" spans="1:13" ht="14.5" x14ac:dyDescent="0.35">
      <c r="A183" s="192" t="s">
        <v>22</v>
      </c>
      <c r="B183" s="193">
        <v>45685</v>
      </c>
      <c r="C183" s="290">
        <v>1599</v>
      </c>
      <c r="D183" s="286">
        <v>10</v>
      </c>
      <c r="E183" s="682">
        <v>0</v>
      </c>
      <c r="F183" s="616">
        <v>0</v>
      </c>
      <c r="G183" s="262"/>
      <c r="H183" s="262"/>
      <c r="I183" s="262"/>
      <c r="J183" s="262"/>
      <c r="K183" s="262"/>
      <c r="L183" s="262"/>
    </row>
    <row r="184" spans="1:13" ht="14.5" x14ac:dyDescent="0.35">
      <c r="A184" s="192" t="s">
        <v>24</v>
      </c>
      <c r="B184" s="193">
        <v>45686</v>
      </c>
      <c r="C184" s="290">
        <v>2617</v>
      </c>
      <c r="D184" s="481">
        <v>11</v>
      </c>
      <c r="E184" s="682">
        <v>0</v>
      </c>
      <c r="F184" s="616">
        <v>0</v>
      </c>
      <c r="G184" s="262"/>
      <c r="H184" s="262"/>
      <c r="I184" s="262"/>
      <c r="J184" s="262"/>
      <c r="K184" s="262"/>
      <c r="L184" s="262"/>
    </row>
    <row r="185" spans="1:13" ht="14.5" x14ac:dyDescent="0.35">
      <c r="A185" s="192" t="s">
        <v>10</v>
      </c>
      <c r="B185" s="193">
        <v>45687</v>
      </c>
      <c r="C185" s="290">
        <v>1385</v>
      </c>
      <c r="D185" s="262">
        <v>10</v>
      </c>
      <c r="E185" s="682">
        <v>0</v>
      </c>
      <c r="F185" s="616">
        <v>0</v>
      </c>
      <c r="G185" s="262"/>
      <c r="H185" s="262"/>
      <c r="I185" s="262"/>
      <c r="J185" s="262"/>
      <c r="K185" s="262"/>
      <c r="L185" s="262"/>
    </row>
    <row r="186" spans="1:13" thickBot="1" x14ac:dyDescent="0.4">
      <c r="A186" s="192" t="s">
        <v>13</v>
      </c>
      <c r="B186" s="193">
        <v>45688</v>
      </c>
      <c r="C186" s="718">
        <v>220</v>
      </c>
      <c r="D186" s="719">
        <v>8</v>
      </c>
      <c r="E186" s="720">
        <v>0</v>
      </c>
      <c r="F186" s="721">
        <v>0</v>
      </c>
      <c r="G186" s="262"/>
      <c r="H186" s="262"/>
      <c r="I186" s="262"/>
      <c r="J186" s="262"/>
      <c r="K186" s="262"/>
      <c r="L186" s="262"/>
    </row>
    <row r="187" spans="1:13" ht="14.5" x14ac:dyDescent="0.35">
      <c r="A187" s="257"/>
      <c r="B187" s="483"/>
      <c r="C187" s="484">
        <f>SUM(C155:C186)</f>
        <v>38776</v>
      </c>
      <c r="D187" s="485">
        <f>SUM(D155:D186)</f>
        <v>261</v>
      </c>
      <c r="E187" s="486">
        <f>SUM(E155:E186)</f>
        <v>6</v>
      </c>
      <c r="F187" s="487">
        <f>SUM(F155:F186)</f>
        <v>9</v>
      </c>
      <c r="G187" s="862"/>
      <c r="H187" s="262"/>
      <c r="I187" s="262"/>
      <c r="J187" s="262"/>
      <c r="M187" s="262"/>
    </row>
    <row r="188" spans="1:13" ht="14.5" x14ac:dyDescent="0.35">
      <c r="A188" s="262"/>
      <c r="B188" s="433"/>
      <c r="C188" s="508"/>
      <c r="D188" s="262"/>
      <c r="E188" s="508"/>
      <c r="F188" s="262"/>
      <c r="G188" s="262"/>
      <c r="H188" s="262"/>
      <c r="I188" s="262"/>
      <c r="J188" s="262"/>
    </row>
    <row r="189" spans="1:13" ht="14.5" x14ac:dyDescent="0.35">
      <c r="A189" s="262"/>
      <c r="B189" s="262"/>
      <c r="C189" s="511"/>
      <c r="D189" s="511"/>
      <c r="E189" s="475"/>
      <c r="F189" s="511"/>
      <c r="G189" s="511"/>
      <c r="H189" s="262"/>
      <c r="I189" s="262"/>
      <c r="J189" s="262"/>
      <c r="M189" s="262"/>
    </row>
    <row r="190" spans="1:13" thickBot="1" x14ac:dyDescent="0.4">
      <c r="A190" s="262"/>
      <c r="D190" s="511"/>
    </row>
    <row r="191" spans="1:13" ht="14.5" x14ac:dyDescent="0.35">
      <c r="A191" s="777"/>
      <c r="B191" s="778" t="s">
        <v>513</v>
      </c>
      <c r="C191" s="779" t="s">
        <v>93</v>
      </c>
    </row>
    <row r="192" spans="1:13" ht="14.5" x14ac:dyDescent="0.35">
      <c r="A192" s="781" t="s">
        <v>99</v>
      </c>
      <c r="B192" s="782">
        <f>C35</f>
        <v>62209</v>
      </c>
      <c r="C192" s="852">
        <f>B192-65000</f>
        <v>-2791</v>
      </c>
    </row>
    <row r="193" spans="1:14" ht="14.5" x14ac:dyDescent="0.35">
      <c r="A193" s="790" t="s">
        <v>37</v>
      </c>
      <c r="B193" s="782">
        <f>C74</f>
        <v>55755</v>
      </c>
      <c r="C193" s="842">
        <f>B193-45000</f>
        <v>10755</v>
      </c>
    </row>
    <row r="194" spans="1:14" ht="14.5" x14ac:dyDescent="0.35">
      <c r="A194" s="790" t="s">
        <v>100</v>
      </c>
      <c r="B194" s="782">
        <f>C110</f>
        <v>51074</v>
      </c>
      <c r="C194" s="852">
        <f>B194-55000</f>
        <v>-3926</v>
      </c>
    </row>
    <row r="195" spans="1:14" ht="14.5" x14ac:dyDescent="0.35">
      <c r="A195" s="791" t="s">
        <v>70</v>
      </c>
      <c r="B195" s="782">
        <f>C148</f>
        <v>36729</v>
      </c>
      <c r="C195" s="842">
        <f>B195-35000</f>
        <v>1729</v>
      </c>
    </row>
    <row r="196" spans="1:14" thickBot="1" x14ac:dyDescent="0.4">
      <c r="A196" s="797" t="s">
        <v>88</v>
      </c>
      <c r="B196" s="798">
        <f>C187</f>
        <v>38776</v>
      </c>
      <c r="C196" s="868"/>
    </row>
    <row r="197" spans="1:14" thickBot="1" x14ac:dyDescent="0.4">
      <c r="A197" s="801" t="s">
        <v>101</v>
      </c>
      <c r="B197" s="802">
        <f>SUM(B192:B196)</f>
        <v>244543</v>
      </c>
      <c r="C197" s="853">
        <f>SUM(C192:C196)</f>
        <v>5767</v>
      </c>
    </row>
    <row r="198" spans="1:14" ht="14.5" x14ac:dyDescent="0.35">
      <c r="A198" s="810"/>
      <c r="B198" s="811">
        <f>B197/26</f>
        <v>9405.5</v>
      </c>
      <c r="C198" s="810"/>
    </row>
    <row r="199" spans="1:14" ht="14.5" x14ac:dyDescent="0.35">
      <c r="A199" s="810"/>
      <c r="B199" s="813"/>
      <c r="C199" s="814"/>
    </row>
    <row r="200" spans="1:14" ht="14.5" x14ac:dyDescent="0.35">
      <c r="A200" s="816" t="s">
        <v>102</v>
      </c>
      <c r="B200" s="780" t="s">
        <v>111</v>
      </c>
      <c r="C200" s="780" t="s">
        <v>112</v>
      </c>
      <c r="D200" s="780" t="s">
        <v>113</v>
      </c>
      <c r="E200" s="780" t="s">
        <v>114</v>
      </c>
      <c r="F200" s="780" t="s">
        <v>103</v>
      </c>
      <c r="G200" s="780" t="s">
        <v>104</v>
      </c>
      <c r="H200" s="780" t="s">
        <v>105</v>
      </c>
      <c r="I200" s="780" t="s">
        <v>106</v>
      </c>
      <c r="J200" s="780" t="s">
        <v>107</v>
      </c>
      <c r="K200" s="780" t="s">
        <v>108</v>
      </c>
      <c r="L200" s="835" t="s">
        <v>109</v>
      </c>
      <c r="M200" s="894" t="s">
        <v>123</v>
      </c>
      <c r="N200" s="818" t="s">
        <v>98</v>
      </c>
    </row>
    <row r="201" spans="1:14" ht="14.5" x14ac:dyDescent="0.35">
      <c r="A201" s="819" t="s">
        <v>99</v>
      </c>
      <c r="B201" s="783">
        <v>59678</v>
      </c>
      <c r="C201" s="784">
        <v>65325</v>
      </c>
      <c r="D201" s="785">
        <v>71363</v>
      </c>
      <c r="E201" s="785">
        <v>75374</v>
      </c>
      <c r="F201" s="786">
        <v>72600</v>
      </c>
      <c r="G201" s="787">
        <v>72030</v>
      </c>
      <c r="H201" s="787">
        <v>72545</v>
      </c>
      <c r="I201" s="786">
        <v>75155</v>
      </c>
      <c r="J201" s="784">
        <v>62987</v>
      </c>
      <c r="K201" s="784">
        <v>64844</v>
      </c>
      <c r="L201" s="863">
        <v>53912</v>
      </c>
      <c r="M201" s="864">
        <v>70795</v>
      </c>
      <c r="N201" s="789">
        <f>AVERAGE(B201:M201)</f>
        <v>68050.666666666672</v>
      </c>
    </row>
    <row r="202" spans="1:14" ht="14.5" x14ac:dyDescent="0.35">
      <c r="A202" s="819" t="s">
        <v>37</v>
      </c>
      <c r="B202" s="783">
        <v>43365</v>
      </c>
      <c r="C202" s="784">
        <v>38287</v>
      </c>
      <c r="D202" s="785">
        <v>45858</v>
      </c>
      <c r="E202" s="785">
        <v>55612</v>
      </c>
      <c r="F202" s="786">
        <v>53980</v>
      </c>
      <c r="G202" s="787">
        <v>49420</v>
      </c>
      <c r="H202" s="787">
        <v>54821</v>
      </c>
      <c r="I202" s="786">
        <v>56018</v>
      </c>
      <c r="J202" s="784">
        <v>60228</v>
      </c>
      <c r="K202" s="784">
        <v>54103</v>
      </c>
      <c r="L202" s="863">
        <v>41310</v>
      </c>
      <c r="M202" s="864">
        <v>46158</v>
      </c>
      <c r="N202" s="789">
        <f>AVERAGE(B202:M202)</f>
        <v>49930</v>
      </c>
    </row>
    <row r="203" spans="1:14" ht="14.5" x14ac:dyDescent="0.35">
      <c r="A203" s="819" t="s">
        <v>100</v>
      </c>
      <c r="B203" s="783">
        <v>43344</v>
      </c>
      <c r="C203" s="784">
        <v>54088</v>
      </c>
      <c r="D203" s="785">
        <v>56961</v>
      </c>
      <c r="E203" s="785">
        <v>56144</v>
      </c>
      <c r="F203" s="786">
        <v>54118</v>
      </c>
      <c r="G203" s="787">
        <v>58320</v>
      </c>
      <c r="H203" s="787">
        <v>51390</v>
      </c>
      <c r="I203" s="786">
        <v>60136.999999999993</v>
      </c>
      <c r="J203" s="784">
        <v>56294</v>
      </c>
      <c r="K203" s="784">
        <v>71263</v>
      </c>
      <c r="L203" s="863">
        <v>57204</v>
      </c>
      <c r="M203" s="864">
        <v>56105</v>
      </c>
      <c r="N203" s="789">
        <f>AVERAGE(B203:M203)</f>
        <v>56280.666666666664</v>
      </c>
    </row>
    <row r="204" spans="1:14" ht="14.5" x14ac:dyDescent="0.35">
      <c r="A204" s="865" t="s">
        <v>115</v>
      </c>
      <c r="B204" s="795"/>
      <c r="C204" s="793"/>
      <c r="D204" s="794"/>
      <c r="E204" s="794"/>
      <c r="F204" s="795"/>
      <c r="G204" s="796"/>
      <c r="H204" s="796">
        <v>15641</v>
      </c>
      <c r="I204" s="786">
        <v>49296</v>
      </c>
      <c r="J204" s="784">
        <v>46460</v>
      </c>
      <c r="K204" s="784">
        <v>38381</v>
      </c>
      <c r="L204" s="863">
        <v>34911</v>
      </c>
      <c r="M204" s="864">
        <v>34895</v>
      </c>
      <c r="N204" s="789">
        <f>AVERAGE(I204:M204)</f>
        <v>40788.6</v>
      </c>
    </row>
    <row r="205" spans="1:14" ht="14.5" x14ac:dyDescent="0.35">
      <c r="A205" s="819" t="s">
        <v>88</v>
      </c>
      <c r="B205" s="783">
        <v>34063</v>
      </c>
      <c r="C205" s="784">
        <v>44190</v>
      </c>
      <c r="D205" s="785">
        <v>32129</v>
      </c>
      <c r="E205" s="785">
        <v>67460</v>
      </c>
      <c r="F205" s="786">
        <v>57984</v>
      </c>
      <c r="G205" s="787">
        <v>47444</v>
      </c>
      <c r="H205" s="787">
        <v>56888</v>
      </c>
      <c r="I205" s="800">
        <v>64418</v>
      </c>
      <c r="J205" s="784">
        <v>47105</v>
      </c>
      <c r="K205" s="784">
        <v>51582</v>
      </c>
      <c r="L205" s="863">
        <v>45924</v>
      </c>
      <c r="M205" s="864">
        <v>44591</v>
      </c>
      <c r="N205" s="789">
        <f>AVERAGE(B205:M205)</f>
        <v>49481.5</v>
      </c>
    </row>
    <row r="206" spans="1:14" ht="14.5" x14ac:dyDescent="0.35">
      <c r="A206" s="822" t="s">
        <v>101</v>
      </c>
      <c r="B206" s="803">
        <v>180450</v>
      </c>
      <c r="C206" s="804">
        <f>SUM(C201:C205)</f>
        <v>201890</v>
      </c>
      <c r="D206" s="804">
        <f>SUM(D201:D205)</f>
        <v>206311</v>
      </c>
      <c r="E206" s="804">
        <f>SUM(E201:E205)</f>
        <v>254590</v>
      </c>
      <c r="F206" s="804">
        <f>SUM(F201:F205)</f>
        <v>238682</v>
      </c>
      <c r="G206" s="804">
        <f>SUM(G201:G205)</f>
        <v>227214</v>
      </c>
      <c r="H206" s="804">
        <v>251285</v>
      </c>
      <c r="I206" s="805">
        <v>305024</v>
      </c>
      <c r="J206" s="806">
        <f>SUM(J201:J205)</f>
        <v>273074</v>
      </c>
      <c r="K206" s="807">
        <v>280173</v>
      </c>
      <c r="L206" s="808">
        <v>233261</v>
      </c>
      <c r="M206" s="883">
        <f>SUM(M201:M205)</f>
        <v>252544</v>
      </c>
      <c r="N206" s="809">
        <f>SUM(N201:N205)</f>
        <v>264531.43333333335</v>
      </c>
    </row>
    <row r="207" spans="1:14" ht="14.5" x14ac:dyDescent="0.35">
      <c r="A207" s="810"/>
      <c r="B207" s="815"/>
      <c r="C207" s="815"/>
      <c r="D207" s="815"/>
      <c r="E207" s="815"/>
      <c r="F207" s="815"/>
      <c r="G207" s="815"/>
      <c r="H207" s="815"/>
      <c r="I207" s="815"/>
      <c r="J207" s="815"/>
      <c r="K207" s="810"/>
      <c r="L207" s="810"/>
      <c r="N207" s="810"/>
    </row>
    <row r="208" spans="1:14" ht="14.5" x14ac:dyDescent="0.35">
      <c r="A208" s="817" t="s">
        <v>102</v>
      </c>
      <c r="B208" s="816" t="s">
        <v>124</v>
      </c>
      <c r="C208" s="816" t="s">
        <v>125</v>
      </c>
      <c r="D208" s="816" t="s">
        <v>126</v>
      </c>
      <c r="E208" s="816" t="s">
        <v>127</v>
      </c>
      <c r="F208" s="816" t="s">
        <v>116</v>
      </c>
      <c r="G208" s="817" t="s">
        <v>117</v>
      </c>
      <c r="H208" s="816" t="s">
        <v>118</v>
      </c>
      <c r="I208" s="816" t="s">
        <v>119</v>
      </c>
      <c r="J208" s="816" t="s">
        <v>120</v>
      </c>
      <c r="K208" s="816" t="s">
        <v>121</v>
      </c>
      <c r="L208" s="816" t="s">
        <v>122</v>
      </c>
      <c r="M208" s="816" t="s">
        <v>123</v>
      </c>
      <c r="N208" s="818" t="s">
        <v>98</v>
      </c>
    </row>
    <row r="209" spans="1:14" ht="14.5" x14ac:dyDescent="0.35">
      <c r="A209" s="833" t="s">
        <v>99</v>
      </c>
      <c r="B209" s="819">
        <v>55786</v>
      </c>
      <c r="C209" s="819">
        <v>48081</v>
      </c>
      <c r="D209" s="819">
        <v>66142</v>
      </c>
      <c r="E209" s="819">
        <v>58127</v>
      </c>
      <c r="F209" s="819">
        <v>74979</v>
      </c>
      <c r="G209" s="820">
        <v>63950</v>
      </c>
      <c r="H209" s="819">
        <v>73973</v>
      </c>
      <c r="I209" s="819">
        <v>63776</v>
      </c>
      <c r="J209" s="819">
        <v>62209</v>
      </c>
      <c r="K209" s="819">
        <v>61961</v>
      </c>
      <c r="L209" s="819">
        <v>62927</v>
      </c>
      <c r="M209" s="819">
        <v>50792</v>
      </c>
      <c r="N209" s="821">
        <f>AVERAGE(B209:G209)</f>
        <v>61177.5</v>
      </c>
    </row>
    <row r="210" spans="1:14" ht="14.5" x14ac:dyDescent="0.35">
      <c r="A210" s="833" t="s">
        <v>37</v>
      </c>
      <c r="B210" s="819">
        <v>40388</v>
      </c>
      <c r="C210" s="819">
        <v>32034</v>
      </c>
      <c r="D210" s="819">
        <v>38086</v>
      </c>
      <c r="E210" s="819">
        <v>42706</v>
      </c>
      <c r="F210" s="819">
        <v>48870</v>
      </c>
      <c r="G210" s="820">
        <v>44783</v>
      </c>
      <c r="H210" s="819">
        <v>58612</v>
      </c>
      <c r="I210" s="819">
        <v>59247</v>
      </c>
      <c r="J210" s="819">
        <v>49882</v>
      </c>
      <c r="K210" s="819">
        <v>42564</v>
      </c>
      <c r="L210" s="819">
        <v>44217</v>
      </c>
      <c r="M210" s="819">
        <v>42911</v>
      </c>
      <c r="N210" s="821">
        <f>AVERAGE(B210:G210)</f>
        <v>41144.5</v>
      </c>
    </row>
    <row r="211" spans="1:14" ht="14.5" x14ac:dyDescent="0.35">
      <c r="A211" s="833" t="s">
        <v>100</v>
      </c>
      <c r="B211" s="819">
        <v>29164</v>
      </c>
      <c r="C211" s="819">
        <v>24425</v>
      </c>
      <c r="D211" s="819">
        <v>32384</v>
      </c>
      <c r="E211" s="819">
        <v>26635</v>
      </c>
      <c r="F211" s="819">
        <v>38487</v>
      </c>
      <c r="G211" s="820">
        <v>41827</v>
      </c>
      <c r="H211" s="819">
        <v>48432</v>
      </c>
      <c r="I211" s="819">
        <v>45807</v>
      </c>
      <c r="J211" s="819">
        <v>47219</v>
      </c>
      <c r="K211" s="819">
        <v>49140</v>
      </c>
      <c r="L211" s="819">
        <v>45889</v>
      </c>
      <c r="M211" s="819">
        <v>42002</v>
      </c>
      <c r="N211" s="821">
        <f>AVERAGE(B211:G211)</f>
        <v>32153.666666666668</v>
      </c>
    </row>
    <row r="212" spans="1:14" ht="14.5" x14ac:dyDescent="0.35">
      <c r="A212" s="833" t="s">
        <v>88</v>
      </c>
      <c r="B212" s="819">
        <v>78647</v>
      </c>
      <c r="C212" s="819">
        <v>71233</v>
      </c>
      <c r="D212" s="819">
        <v>80881</v>
      </c>
      <c r="E212" s="819">
        <v>89693</v>
      </c>
      <c r="F212" s="819">
        <v>115741.16666666666</v>
      </c>
      <c r="G212" s="820">
        <v>92550</v>
      </c>
      <c r="H212" s="819">
        <v>102728</v>
      </c>
      <c r="I212" s="819">
        <v>102029</v>
      </c>
      <c r="J212" s="819">
        <v>73495</v>
      </c>
      <c r="K212" s="819">
        <v>77358</v>
      </c>
      <c r="L212" s="819">
        <v>75185</v>
      </c>
      <c r="M212" s="819">
        <v>62889</v>
      </c>
      <c r="N212" s="821">
        <f>AVERAGE(B212:G212)</f>
        <v>88124.194444444438</v>
      </c>
    </row>
    <row r="213" spans="1:14" ht="14.5" x14ac:dyDescent="0.35">
      <c r="A213" s="834" t="s">
        <v>101</v>
      </c>
      <c r="B213" s="823">
        <v>203985</v>
      </c>
      <c r="C213" s="823">
        <v>175773</v>
      </c>
      <c r="D213" s="823">
        <v>217493</v>
      </c>
      <c r="E213" s="823">
        <v>217161</v>
      </c>
      <c r="F213" s="823">
        <f>SUM(F209:F212)</f>
        <v>278077.16666666663</v>
      </c>
      <c r="G213" s="823">
        <f>SUM(G209:G212)</f>
        <v>243110</v>
      </c>
      <c r="H213" s="823">
        <v>283745</v>
      </c>
      <c r="I213" s="823">
        <v>270859</v>
      </c>
      <c r="J213" s="823">
        <v>232805</v>
      </c>
      <c r="K213" s="823">
        <v>231023</v>
      </c>
      <c r="L213" s="823">
        <v>228218</v>
      </c>
      <c r="M213" s="823">
        <v>198594</v>
      </c>
      <c r="N213" s="809">
        <f>AVERAGE(B213:G213)</f>
        <v>222599.86111111109</v>
      </c>
    </row>
    <row r="214" spans="1:14" ht="14.5" x14ac:dyDescent="0.35">
      <c r="B214" s="810"/>
      <c r="C214" s="815"/>
      <c r="D214" s="815"/>
      <c r="E214" s="815"/>
      <c r="F214" s="815"/>
      <c r="G214" s="815"/>
      <c r="H214" s="810"/>
      <c r="I214" s="810"/>
      <c r="J214" s="810"/>
      <c r="K214" s="810"/>
      <c r="L214" s="810"/>
      <c r="M214" s="810"/>
      <c r="N214" s="810"/>
    </row>
    <row r="215" spans="1:14" ht="14.5" x14ac:dyDescent="0.35">
      <c r="A215" s="817" t="s">
        <v>102</v>
      </c>
      <c r="B215" s="825" t="s">
        <v>136</v>
      </c>
      <c r="C215" s="816" t="s">
        <v>137</v>
      </c>
      <c r="D215" s="816" t="s">
        <v>138</v>
      </c>
      <c r="E215" s="816" t="s">
        <v>139</v>
      </c>
      <c r="F215" s="816" t="s">
        <v>128</v>
      </c>
      <c r="G215" s="817" t="s">
        <v>129</v>
      </c>
      <c r="H215" s="816" t="s">
        <v>130</v>
      </c>
      <c r="I215" s="816" t="s">
        <v>131</v>
      </c>
      <c r="J215" s="816" t="s">
        <v>132</v>
      </c>
      <c r="K215" s="816" t="s">
        <v>133</v>
      </c>
      <c r="L215" s="816" t="s">
        <v>134</v>
      </c>
      <c r="M215" s="816" t="s">
        <v>135</v>
      </c>
      <c r="N215" s="818" t="s">
        <v>98</v>
      </c>
    </row>
    <row r="216" spans="1:14" ht="14.5" x14ac:dyDescent="0.35">
      <c r="A216" s="833" t="s">
        <v>99</v>
      </c>
      <c r="B216" s="784">
        <v>75616</v>
      </c>
      <c r="C216" s="826">
        <v>68029</v>
      </c>
      <c r="D216" s="826">
        <v>59606</v>
      </c>
      <c r="E216" s="826">
        <v>63396</v>
      </c>
      <c r="F216" s="826">
        <v>52819.21</v>
      </c>
      <c r="G216" s="827">
        <v>53324</v>
      </c>
      <c r="H216" s="826">
        <v>61519</v>
      </c>
      <c r="I216" s="826">
        <v>70743</v>
      </c>
      <c r="J216" s="828">
        <v>55027</v>
      </c>
      <c r="K216" s="828">
        <v>54932</v>
      </c>
      <c r="L216" s="828">
        <v>43776</v>
      </c>
      <c r="M216" s="828">
        <v>49810</v>
      </c>
      <c r="N216" s="829">
        <f>AVERAGE(B216:G216)</f>
        <v>62131.701666666668</v>
      </c>
    </row>
    <row r="217" spans="1:14" ht="14.5" x14ac:dyDescent="0.35">
      <c r="A217" s="833" t="s">
        <v>37</v>
      </c>
      <c r="B217" s="784">
        <v>43422</v>
      </c>
      <c r="C217" s="826">
        <v>35147</v>
      </c>
      <c r="D217" s="826">
        <v>37370</v>
      </c>
      <c r="E217" s="826">
        <v>39971</v>
      </c>
      <c r="F217" s="826">
        <v>33459.82</v>
      </c>
      <c r="G217" s="827">
        <v>39860</v>
      </c>
      <c r="H217" s="826">
        <v>41717</v>
      </c>
      <c r="I217" s="826">
        <v>40181</v>
      </c>
      <c r="J217" s="828">
        <v>41079</v>
      </c>
      <c r="K217" s="828">
        <v>39875</v>
      </c>
      <c r="L217" s="828">
        <v>35835</v>
      </c>
      <c r="M217" s="828">
        <v>28946</v>
      </c>
      <c r="N217" s="829">
        <f>AVERAGE(B217:G217)</f>
        <v>38204.97</v>
      </c>
    </row>
    <row r="218" spans="1:14" ht="14.5" x14ac:dyDescent="0.35">
      <c r="A218" s="833" t="s">
        <v>100</v>
      </c>
      <c r="B218" s="825" t="s">
        <v>140</v>
      </c>
      <c r="C218" s="816"/>
      <c r="D218" s="816"/>
      <c r="E218" s="826">
        <v>3428</v>
      </c>
      <c r="F218" s="826">
        <v>13471.49</v>
      </c>
      <c r="G218" s="827">
        <v>12544</v>
      </c>
      <c r="H218" s="826">
        <v>13788</v>
      </c>
      <c r="I218" s="826">
        <v>17451</v>
      </c>
      <c r="J218" s="828">
        <v>20924</v>
      </c>
      <c r="K218" s="828">
        <v>23756</v>
      </c>
      <c r="L218" s="828">
        <v>18015</v>
      </c>
      <c r="M218" s="828">
        <v>15778</v>
      </c>
      <c r="N218" s="829">
        <f>AVERAGE(B218:G218)</f>
        <v>9814.496666666666</v>
      </c>
    </row>
    <row r="219" spans="1:14" ht="14.5" x14ac:dyDescent="0.35">
      <c r="A219" s="833" t="s">
        <v>88</v>
      </c>
      <c r="B219" s="784">
        <v>51000</v>
      </c>
      <c r="C219" s="826">
        <v>41240</v>
      </c>
      <c r="D219" s="826">
        <v>47352</v>
      </c>
      <c r="E219" s="826">
        <v>49038</v>
      </c>
      <c r="F219" s="826">
        <v>21042</v>
      </c>
      <c r="G219" s="827">
        <v>35748</v>
      </c>
      <c r="H219" s="826">
        <v>44347</v>
      </c>
      <c r="I219" s="826">
        <v>72570</v>
      </c>
      <c r="J219" s="828">
        <v>89947</v>
      </c>
      <c r="K219" s="828">
        <v>99078</v>
      </c>
      <c r="L219" s="828">
        <v>75226</v>
      </c>
      <c r="M219" s="828">
        <v>76874</v>
      </c>
      <c r="N219" s="829">
        <f>AVERAGE(B219:G219)</f>
        <v>40903.333333333336</v>
      </c>
    </row>
    <row r="220" spans="1:14" ht="14.5" x14ac:dyDescent="0.35">
      <c r="A220" s="834" t="s">
        <v>101</v>
      </c>
      <c r="B220" s="807">
        <v>170038</v>
      </c>
      <c r="C220" s="830">
        <f t="shared" ref="C220:H220" si="4">SUM(C216:C219)</f>
        <v>144416</v>
      </c>
      <c r="D220" s="830">
        <f t="shared" si="4"/>
        <v>144328</v>
      </c>
      <c r="E220" s="830">
        <f t="shared" si="4"/>
        <v>155833</v>
      </c>
      <c r="F220" s="830">
        <f t="shared" si="4"/>
        <v>120792.52</v>
      </c>
      <c r="G220" s="830">
        <f t="shared" si="4"/>
        <v>141476</v>
      </c>
      <c r="H220" s="830">
        <f t="shared" si="4"/>
        <v>161371</v>
      </c>
      <c r="I220" s="830">
        <f>SUM(I216:I219)</f>
        <v>200945</v>
      </c>
      <c r="J220" s="823">
        <v>206977</v>
      </c>
      <c r="K220" s="823">
        <v>217641</v>
      </c>
      <c r="L220" s="823">
        <v>172852</v>
      </c>
      <c r="M220" s="823">
        <v>171408</v>
      </c>
      <c r="N220" s="830">
        <f>AVERAGE(B220:G220)</f>
        <v>146147.25333333333</v>
      </c>
    </row>
    <row r="221" spans="1:14" ht="14.5" x14ac:dyDescent="0.35"/>
    <row r="222" spans="1:14" ht="14.5" x14ac:dyDescent="0.35"/>
    <row r="223" spans="1:14" ht="14.5" x14ac:dyDescent="0.35"/>
    <row r="224" spans="1:14" ht="14.5" x14ac:dyDescent="0.35">
      <c r="A224" s="628"/>
      <c r="B224" s="628"/>
      <c r="C224" s="542" t="s">
        <v>141</v>
      </c>
      <c r="D224" s="542" t="s">
        <v>142</v>
      </c>
      <c r="I224" s="262"/>
      <c r="J224" s="262"/>
      <c r="M224" s="262"/>
    </row>
    <row r="225" spans="1:13" s="580" customFormat="1" ht="14.5" x14ac:dyDescent="0.35">
      <c r="A225" s="581" t="s">
        <v>24</v>
      </c>
      <c r="B225" s="582">
        <v>45658</v>
      </c>
      <c r="C225" s="866">
        <f t="shared" ref="C225:C255" si="5">C4+C43+C79+C117+C156</f>
        <v>0</v>
      </c>
      <c r="D225" s="867">
        <f>C225</f>
        <v>0</v>
      </c>
      <c r="I225" s="623"/>
      <c r="K225"/>
      <c r="L225"/>
    </row>
    <row r="226" spans="1:13" ht="14.5" x14ac:dyDescent="0.35">
      <c r="A226" s="560" t="s">
        <v>10</v>
      </c>
      <c r="B226" s="561">
        <v>45659</v>
      </c>
      <c r="C226" s="626">
        <f t="shared" si="5"/>
        <v>10503</v>
      </c>
      <c r="D226" s="584">
        <f>C225+C226</f>
        <v>10503</v>
      </c>
      <c r="I226" s="624"/>
    </row>
    <row r="227" spans="1:13" ht="14.5" x14ac:dyDescent="0.35">
      <c r="A227" s="560" t="s">
        <v>13</v>
      </c>
      <c r="B227" s="561">
        <v>45660</v>
      </c>
      <c r="C227" s="626">
        <f t="shared" si="5"/>
        <v>10107</v>
      </c>
      <c r="D227" s="584">
        <f t="shared" ref="D227:D254" si="6">D226+C227</f>
        <v>20610</v>
      </c>
      <c r="I227" s="624"/>
    </row>
    <row r="228" spans="1:13" ht="14.5" x14ac:dyDescent="0.35">
      <c r="A228" s="560" t="s">
        <v>16</v>
      </c>
      <c r="B228" s="561">
        <v>45661</v>
      </c>
      <c r="C228" s="626">
        <f t="shared" si="5"/>
        <v>8572</v>
      </c>
      <c r="D228" s="584">
        <f t="shared" si="6"/>
        <v>29182</v>
      </c>
      <c r="I228" s="624"/>
      <c r="K228" s="554"/>
      <c r="L228" s="555"/>
    </row>
    <row r="229" spans="1:13" ht="14.5" x14ac:dyDescent="0.35">
      <c r="A229" s="581" t="s">
        <v>18</v>
      </c>
      <c r="B229" s="582">
        <v>45662</v>
      </c>
      <c r="C229" s="831">
        <f t="shared" si="5"/>
        <v>0</v>
      </c>
      <c r="D229" s="579">
        <f t="shared" si="6"/>
        <v>29182</v>
      </c>
      <c r="I229" s="624"/>
    </row>
    <row r="230" spans="1:13" ht="14.5" x14ac:dyDescent="0.35">
      <c r="A230" s="560" t="s">
        <v>20</v>
      </c>
      <c r="B230" s="561">
        <v>45663</v>
      </c>
      <c r="C230" s="626">
        <f t="shared" si="5"/>
        <v>13750</v>
      </c>
      <c r="D230" s="584">
        <f t="shared" si="6"/>
        <v>42932</v>
      </c>
      <c r="I230" s="624"/>
    </row>
    <row r="231" spans="1:13" ht="14.5" x14ac:dyDescent="0.35">
      <c r="A231" s="560" t="s">
        <v>22</v>
      </c>
      <c r="B231" s="561">
        <v>45664</v>
      </c>
      <c r="C231" s="626">
        <f t="shared" si="5"/>
        <v>7655</v>
      </c>
      <c r="D231" s="584">
        <f t="shared" si="6"/>
        <v>50587</v>
      </c>
      <c r="I231" s="624"/>
      <c r="J231" s="554"/>
      <c r="M231" s="554"/>
    </row>
    <row r="232" spans="1:13" ht="14.5" x14ac:dyDescent="0.35">
      <c r="A232" s="560" t="s">
        <v>24</v>
      </c>
      <c r="B232" s="561">
        <v>45665</v>
      </c>
      <c r="C232" s="626">
        <f t="shared" si="5"/>
        <v>10366</v>
      </c>
      <c r="D232" s="584">
        <f t="shared" si="6"/>
        <v>60953</v>
      </c>
      <c r="I232" s="625"/>
    </row>
    <row r="233" spans="1:13" ht="14.5" x14ac:dyDescent="0.35">
      <c r="A233" s="560" t="s">
        <v>10</v>
      </c>
      <c r="B233" s="561">
        <v>45666</v>
      </c>
      <c r="C233" s="626">
        <f t="shared" si="5"/>
        <v>10085</v>
      </c>
      <c r="D233" s="584">
        <f t="shared" si="6"/>
        <v>71038</v>
      </c>
      <c r="I233" s="625"/>
    </row>
    <row r="234" spans="1:13" ht="14.5" x14ac:dyDescent="0.35">
      <c r="A234" s="560" t="s">
        <v>13</v>
      </c>
      <c r="B234" s="561">
        <v>45667</v>
      </c>
      <c r="C234" s="626">
        <f t="shared" si="5"/>
        <v>8158</v>
      </c>
      <c r="D234" s="584">
        <f t="shared" si="6"/>
        <v>79196</v>
      </c>
      <c r="I234" s="625"/>
    </row>
    <row r="235" spans="1:13" ht="14.5" x14ac:dyDescent="0.35">
      <c r="A235" s="560" t="s">
        <v>16</v>
      </c>
      <c r="B235" s="561">
        <v>45668</v>
      </c>
      <c r="C235" s="626">
        <f t="shared" si="5"/>
        <v>11541</v>
      </c>
      <c r="D235" s="584">
        <f t="shared" si="6"/>
        <v>90737</v>
      </c>
    </row>
    <row r="236" spans="1:13" ht="14.5" x14ac:dyDescent="0.35">
      <c r="A236" s="581" t="s">
        <v>18</v>
      </c>
      <c r="B236" s="582">
        <v>45669</v>
      </c>
      <c r="C236" s="831">
        <f t="shared" si="5"/>
        <v>0</v>
      </c>
      <c r="D236" s="579">
        <f t="shared" si="6"/>
        <v>90737</v>
      </c>
      <c r="K236" s="580"/>
      <c r="L236" s="580"/>
    </row>
    <row r="237" spans="1:13" ht="14.5" x14ac:dyDescent="0.35">
      <c r="A237" s="560" t="s">
        <v>20</v>
      </c>
      <c r="B237" s="561">
        <v>45670</v>
      </c>
      <c r="C237" s="626">
        <f t="shared" si="5"/>
        <v>9577</v>
      </c>
      <c r="D237" s="584">
        <f t="shared" si="6"/>
        <v>100314</v>
      </c>
    </row>
    <row r="238" spans="1:13" ht="14.5" x14ac:dyDescent="0.35">
      <c r="A238" s="560" t="s">
        <v>22</v>
      </c>
      <c r="B238" s="561">
        <v>45671</v>
      </c>
      <c r="C238" s="626">
        <f t="shared" si="5"/>
        <v>7694</v>
      </c>
      <c r="D238" s="584">
        <f t="shared" si="6"/>
        <v>108008</v>
      </c>
    </row>
    <row r="239" spans="1:13" s="580" customFormat="1" ht="14.5" x14ac:dyDescent="0.35">
      <c r="A239" s="560" t="s">
        <v>24</v>
      </c>
      <c r="B239" s="561">
        <v>45672</v>
      </c>
      <c r="C239" s="626">
        <f t="shared" si="5"/>
        <v>6432</v>
      </c>
      <c r="D239" s="584">
        <f t="shared" si="6"/>
        <v>114440</v>
      </c>
      <c r="K239"/>
      <c r="L239"/>
    </row>
    <row r="240" spans="1:13" ht="14.5" x14ac:dyDescent="0.35">
      <c r="A240" s="560" t="s">
        <v>10</v>
      </c>
      <c r="B240" s="561">
        <v>45673</v>
      </c>
      <c r="C240" s="626">
        <f t="shared" si="5"/>
        <v>8952</v>
      </c>
      <c r="D240" s="584">
        <f t="shared" si="6"/>
        <v>123392</v>
      </c>
    </row>
    <row r="241" spans="1:12" ht="14.5" x14ac:dyDescent="0.35">
      <c r="A241" s="560" t="s">
        <v>13</v>
      </c>
      <c r="B241" s="561">
        <v>45674</v>
      </c>
      <c r="C241" s="626">
        <f t="shared" si="5"/>
        <v>7606</v>
      </c>
      <c r="D241" s="584">
        <f t="shared" si="6"/>
        <v>130998</v>
      </c>
    </row>
    <row r="242" spans="1:12" ht="14.5" x14ac:dyDescent="0.35">
      <c r="A242" s="560" t="s">
        <v>16</v>
      </c>
      <c r="B242" s="561">
        <v>45675</v>
      </c>
      <c r="C242" s="626">
        <f t="shared" si="5"/>
        <v>8811</v>
      </c>
      <c r="D242" s="584">
        <f t="shared" si="6"/>
        <v>139809</v>
      </c>
    </row>
    <row r="243" spans="1:12" ht="14.5" x14ac:dyDescent="0.35">
      <c r="A243" s="581" t="s">
        <v>18</v>
      </c>
      <c r="B243" s="582">
        <v>45676</v>
      </c>
      <c r="C243" s="831">
        <f t="shared" si="5"/>
        <v>0</v>
      </c>
      <c r="D243" s="579">
        <f t="shared" si="6"/>
        <v>139809</v>
      </c>
      <c r="K243" s="580"/>
      <c r="L243" s="580"/>
    </row>
    <row r="244" spans="1:12" ht="15" customHeight="1" x14ac:dyDescent="0.35">
      <c r="A244" s="560" t="s">
        <v>20</v>
      </c>
      <c r="B244" s="561">
        <v>45677</v>
      </c>
      <c r="C244" s="626">
        <f t="shared" si="5"/>
        <v>15169</v>
      </c>
      <c r="D244" s="584">
        <f t="shared" si="6"/>
        <v>154978</v>
      </c>
    </row>
    <row r="245" spans="1:12" ht="15" customHeight="1" x14ac:dyDescent="0.35">
      <c r="A245" s="560" t="s">
        <v>22</v>
      </c>
      <c r="B245" s="561">
        <v>45678</v>
      </c>
      <c r="C245" s="626">
        <f t="shared" si="5"/>
        <v>10920</v>
      </c>
      <c r="D245" s="584">
        <f t="shared" si="6"/>
        <v>165898</v>
      </c>
    </row>
    <row r="246" spans="1:12" s="580" customFormat="1" ht="15" customHeight="1" x14ac:dyDescent="0.35">
      <c r="A246" s="560" t="s">
        <v>24</v>
      </c>
      <c r="B246" s="561">
        <v>45679</v>
      </c>
      <c r="C246" s="626">
        <f t="shared" si="5"/>
        <v>9579</v>
      </c>
      <c r="D246" s="584">
        <f t="shared" si="6"/>
        <v>175477</v>
      </c>
      <c r="K246"/>
      <c r="L246"/>
    </row>
    <row r="247" spans="1:12" ht="15" customHeight="1" x14ac:dyDescent="0.35">
      <c r="A247" s="560" t="s">
        <v>10</v>
      </c>
      <c r="B247" s="561">
        <v>45680</v>
      </c>
      <c r="C247" s="626">
        <f t="shared" si="5"/>
        <v>8169</v>
      </c>
      <c r="D247" s="584">
        <f t="shared" si="6"/>
        <v>183646</v>
      </c>
    </row>
    <row r="248" spans="1:12" ht="15" customHeight="1" x14ac:dyDescent="0.35">
      <c r="A248" s="560" t="s">
        <v>13</v>
      </c>
      <c r="B248" s="561">
        <v>45681</v>
      </c>
      <c r="C248" s="626">
        <f t="shared" si="5"/>
        <v>8131</v>
      </c>
      <c r="D248" s="584">
        <f t="shared" si="6"/>
        <v>191777</v>
      </c>
    </row>
    <row r="249" spans="1:12" ht="15" customHeight="1" x14ac:dyDescent="0.35">
      <c r="A249" s="560" t="s">
        <v>16</v>
      </c>
      <c r="B249" s="561">
        <v>45682</v>
      </c>
      <c r="C249" s="626">
        <f t="shared" si="5"/>
        <v>9118</v>
      </c>
      <c r="D249" s="584">
        <f t="shared" si="6"/>
        <v>200895</v>
      </c>
    </row>
    <row r="250" spans="1:12" ht="15" customHeight="1" x14ac:dyDescent="0.35">
      <c r="A250" s="581" t="s">
        <v>18</v>
      </c>
      <c r="B250" s="582">
        <v>45683</v>
      </c>
      <c r="C250" s="831">
        <f t="shared" si="5"/>
        <v>0</v>
      </c>
      <c r="D250" s="579">
        <f t="shared" si="6"/>
        <v>200895</v>
      </c>
      <c r="K250" s="580"/>
      <c r="L250" s="580"/>
    </row>
    <row r="251" spans="1:12" ht="15" customHeight="1" x14ac:dyDescent="0.35">
      <c r="A251" s="560" t="s">
        <v>20</v>
      </c>
      <c r="B251" s="561">
        <v>45684</v>
      </c>
      <c r="C251" s="626">
        <f t="shared" si="5"/>
        <v>8970</v>
      </c>
      <c r="D251" s="584">
        <f t="shared" si="6"/>
        <v>209865</v>
      </c>
    </row>
    <row r="252" spans="1:12" ht="15" customHeight="1" x14ac:dyDescent="0.35">
      <c r="A252" s="560" t="s">
        <v>22</v>
      </c>
      <c r="B252" s="561">
        <v>45685</v>
      </c>
      <c r="C252" s="626">
        <f t="shared" si="5"/>
        <v>7685</v>
      </c>
      <c r="D252" s="584">
        <f t="shared" si="6"/>
        <v>217550</v>
      </c>
    </row>
    <row r="253" spans="1:12" s="580" customFormat="1" ht="15" customHeight="1" x14ac:dyDescent="0.35">
      <c r="A253" s="560" t="s">
        <v>24</v>
      </c>
      <c r="B253" s="561">
        <v>45686</v>
      </c>
      <c r="C253" s="626">
        <f t="shared" si="5"/>
        <v>7149</v>
      </c>
      <c r="D253" s="584">
        <f t="shared" si="6"/>
        <v>224699</v>
      </c>
      <c r="K253"/>
      <c r="L253"/>
    </row>
    <row r="254" spans="1:12" ht="15" customHeight="1" x14ac:dyDescent="0.35">
      <c r="A254" s="560" t="s">
        <v>10</v>
      </c>
      <c r="B254" s="561">
        <v>45687</v>
      </c>
      <c r="C254" s="626">
        <f t="shared" si="5"/>
        <v>7555</v>
      </c>
      <c r="D254" s="584">
        <f t="shared" si="6"/>
        <v>232254</v>
      </c>
    </row>
    <row r="255" spans="1:12" ht="15" customHeight="1" x14ac:dyDescent="0.35">
      <c r="A255" s="560" t="s">
        <v>13</v>
      </c>
      <c r="B255" s="561">
        <v>45688</v>
      </c>
      <c r="C255" s="626">
        <f t="shared" si="5"/>
        <v>12289</v>
      </c>
      <c r="D255" s="584">
        <f>D254+C255</f>
        <v>244543</v>
      </c>
    </row>
  </sheetData>
  <mergeCells count="16">
    <mergeCell ref="B1:F1"/>
    <mergeCell ref="B2:B3"/>
    <mergeCell ref="C2:C3"/>
    <mergeCell ref="L4:M4"/>
    <mergeCell ref="B41:B42"/>
    <mergeCell ref="C41:C42"/>
    <mergeCell ref="K117:L117"/>
    <mergeCell ref="A152:B155"/>
    <mergeCell ref="C152:E153"/>
    <mergeCell ref="C154:C155"/>
    <mergeCell ref="K43:L43"/>
    <mergeCell ref="B77:B78"/>
    <mergeCell ref="C77:C78"/>
    <mergeCell ref="K78:L78"/>
    <mergeCell ref="B115:B116"/>
    <mergeCell ref="C115:C116"/>
  </mergeCells>
  <phoneticPr fontId="19" type="noConversion"/>
  <conditionalFormatting sqref="A4:F4 I4:I34 A5:B34">
    <cfRule type="expression" dxfId="95" priority="8">
      <formula>ISODD(ROW())</formula>
    </cfRule>
  </conditionalFormatting>
  <conditionalFormatting sqref="A43:F43 H43:I43 H79:I79 A79:F109 H117:I117">
    <cfRule type="expression" dxfId="94" priority="12">
      <formula>ISEVEN(ROW())</formula>
    </cfRule>
  </conditionalFormatting>
  <conditionalFormatting sqref="A156:F186">
    <cfRule type="expression" dxfId="93" priority="7">
      <formula>ISODD(ROW())</formula>
    </cfRule>
  </conditionalFormatting>
  <conditionalFormatting sqref="A44:I73 G80:I104 G106:I109 A117:F147 G118:I142 G144:I147">
    <cfRule type="expression" dxfId="92" priority="9">
      <formula>ISEVEN(ROW())</formula>
    </cfRule>
  </conditionalFormatting>
  <conditionalFormatting sqref="C5:F5">
    <cfRule type="expression" dxfId="91" priority="11">
      <formula>ISEVEN(ROW())</formula>
    </cfRule>
  </conditionalFormatting>
  <conditionalFormatting sqref="C6:H21 C22:G22 C23:H34 A225:B255">
    <cfRule type="expression" dxfId="90" priority="1">
      <formula>ISODD(ROW())</formula>
    </cfRule>
  </conditionalFormatting>
  <conditionalFormatting sqref="G5">
    <cfRule type="expression" dxfId="89" priority="2">
      <formula>ISODD(ROW())</formula>
    </cfRule>
  </conditionalFormatting>
  <conditionalFormatting sqref="H4:H5">
    <cfRule type="expression" dxfId="88" priority="6">
      <formula>ISODD(ROW())</formula>
    </cfRule>
  </conditionalFormatting>
  <conditionalFormatting sqref="M2 N3:N16 N18:N21 N27:N32 N34:N35 K37:K39 N41:N43 N49:N60 M55:M59 M65:M68 N65:N74 N77:N110 M111:M153 H152:H153 L154:L170 G154:G186 H187:H188">
    <cfRule type="cellIs" dxfId="87" priority="14" operator="greaterThan">
      <formula>0</formula>
    </cfRule>
    <cfRule type="cellIs" dxfId="86" priority="15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A0F5-DBDA-4C72-BB0F-9A14062D4041}">
  <sheetPr>
    <tabColor theme="0" tint="-0.249977111117893"/>
  </sheetPr>
  <dimension ref="A1:O246"/>
  <sheetViews>
    <sheetView topLeftCell="A115" workbookViewId="0">
      <selection activeCell="I147" sqref="I147"/>
    </sheetView>
  </sheetViews>
  <sheetFormatPr defaultColWidth="9.1796875" defaultRowHeight="15" customHeight="1" x14ac:dyDescent="0.35"/>
  <cols>
    <col min="1" max="1" width="18.453125" customWidth="1"/>
    <col min="2" max="2" width="21" customWidth="1"/>
    <col min="3" max="3" width="16.453125" customWidth="1"/>
    <col min="4" max="4" width="16.1796875" customWidth="1"/>
    <col min="5" max="5" width="18.81640625" customWidth="1"/>
    <col min="6" max="6" width="19.54296875" customWidth="1"/>
    <col min="7" max="7" width="16.453125" customWidth="1"/>
    <col min="8" max="8" width="13" customWidth="1"/>
    <col min="9" max="9" width="16.26953125" bestFit="1" customWidth="1"/>
    <col min="10" max="10" width="15.81640625" bestFit="1" customWidth="1"/>
    <col min="11" max="11" width="17.81640625" customWidth="1"/>
    <col min="12" max="12" width="17.54296875" bestFit="1" customWidth="1"/>
    <col min="13" max="13" width="17.453125" customWidth="1"/>
    <col min="14" max="14" width="18.453125" customWidth="1"/>
    <col min="15" max="15" width="14.81640625" customWidth="1"/>
    <col min="16" max="16" width="12.54296875" customWidth="1"/>
  </cols>
  <sheetData>
    <row r="1" spans="1:15" ht="17.5" customHeight="1" thickBot="1" x14ac:dyDescent="0.5">
      <c r="A1" s="262"/>
      <c r="B1" s="930" t="s">
        <v>0</v>
      </c>
      <c r="C1" s="930"/>
      <c r="D1" s="930"/>
      <c r="E1" s="930"/>
      <c r="F1" s="930"/>
      <c r="G1" s="262"/>
      <c r="H1" s="262"/>
      <c r="I1" s="262"/>
      <c r="J1" s="262"/>
      <c r="K1" s="262"/>
      <c r="L1" s="262"/>
      <c r="M1" s="262"/>
    </row>
    <row r="2" spans="1:15" ht="15.65" customHeight="1" thickBot="1" x14ac:dyDescent="0.45">
      <c r="A2" s="348"/>
      <c r="B2" s="926" t="s">
        <v>1</v>
      </c>
      <c r="C2" s="928" t="s">
        <v>0</v>
      </c>
      <c r="D2" s="298" t="s">
        <v>2</v>
      </c>
      <c r="E2" s="184" t="s">
        <v>3</v>
      </c>
      <c r="F2" s="772" t="s">
        <v>4</v>
      </c>
      <c r="G2" s="776" t="s">
        <v>514</v>
      </c>
      <c r="H2" s="774" t="s">
        <v>143</v>
      </c>
      <c r="I2" s="186" t="s">
        <v>6</v>
      </c>
      <c r="J2" s="775" t="s">
        <v>7</v>
      </c>
      <c r="K2" s="349"/>
      <c r="L2" s="349"/>
      <c r="M2" s="349"/>
      <c r="N2" s="349"/>
    </row>
    <row r="3" spans="1:15" ht="30.75" customHeight="1" x14ac:dyDescent="0.4">
      <c r="A3" s="497"/>
      <c r="B3" s="927"/>
      <c r="C3" s="929"/>
      <c r="D3" s="299" t="s">
        <v>0</v>
      </c>
      <c r="E3" s="498" t="s">
        <v>0</v>
      </c>
      <c r="F3" s="772" t="s">
        <v>0</v>
      </c>
      <c r="G3" s="640" t="s">
        <v>515</v>
      </c>
      <c r="H3" s="664" t="s">
        <v>0</v>
      </c>
      <c r="I3" s="665" t="s">
        <v>8</v>
      </c>
      <c r="J3" s="666" t="s">
        <v>9</v>
      </c>
      <c r="K3" s="262"/>
      <c r="L3" s="262"/>
      <c r="M3" s="262"/>
      <c r="N3" s="262"/>
      <c r="O3" s="262"/>
    </row>
    <row r="4" spans="1:15" ht="14.5" x14ac:dyDescent="0.35">
      <c r="A4" s="192" t="s">
        <v>18</v>
      </c>
      <c r="B4" s="193">
        <v>45627</v>
      </c>
      <c r="C4" s="194">
        <v>2550</v>
      </c>
      <c r="D4" s="195"/>
      <c r="E4" s="286"/>
      <c r="F4" s="673"/>
      <c r="G4" s="667"/>
      <c r="H4" s="726"/>
      <c r="I4" s="843"/>
      <c r="J4" s="733"/>
      <c r="K4" s="262"/>
      <c r="L4" s="923" t="s">
        <v>12</v>
      </c>
      <c r="M4" s="923"/>
      <c r="N4" s="262"/>
      <c r="O4" s="262"/>
    </row>
    <row r="5" spans="1:15" ht="14.5" x14ac:dyDescent="0.35">
      <c r="A5" s="192" t="s">
        <v>20</v>
      </c>
      <c r="B5" s="193">
        <v>45628</v>
      </c>
      <c r="C5" s="200">
        <v>3188</v>
      </c>
      <c r="D5" s="201">
        <v>58</v>
      </c>
      <c r="E5" s="557">
        <v>0</v>
      </c>
      <c r="F5" s="669">
        <v>1</v>
      </c>
      <c r="G5" s="618">
        <v>0</v>
      </c>
      <c r="H5" s="674">
        <v>4</v>
      </c>
      <c r="I5" s="736" t="s">
        <v>516</v>
      </c>
      <c r="J5" s="734">
        <v>24</v>
      </c>
      <c r="K5" s="262"/>
      <c r="L5" s="503" t="s">
        <v>15</v>
      </c>
      <c r="M5" s="365">
        <v>60000</v>
      </c>
      <c r="N5" s="262"/>
      <c r="O5" s="262"/>
    </row>
    <row r="6" spans="1:15" ht="14.5" x14ac:dyDescent="0.35">
      <c r="A6" s="192" t="s">
        <v>22</v>
      </c>
      <c r="B6" s="193">
        <v>45629</v>
      </c>
      <c r="C6" s="205">
        <v>4047</v>
      </c>
      <c r="D6" s="206">
        <v>58</v>
      </c>
      <c r="E6" s="612">
        <v>0</v>
      </c>
      <c r="F6" s="670">
        <v>1</v>
      </c>
      <c r="G6" s="207">
        <v>0</v>
      </c>
      <c r="H6" s="675">
        <v>2</v>
      </c>
      <c r="I6" s="844" t="s">
        <v>517</v>
      </c>
      <c r="J6" s="735">
        <v>20</v>
      </c>
      <c r="K6" s="262"/>
      <c r="L6" s="504" t="s">
        <v>17</v>
      </c>
      <c r="M6" s="371">
        <v>2400</v>
      </c>
      <c r="N6" s="262"/>
      <c r="O6" s="262"/>
    </row>
    <row r="7" spans="1:15" ht="14.5" x14ac:dyDescent="0.35">
      <c r="A7" s="192" t="s">
        <v>24</v>
      </c>
      <c r="B7" s="193">
        <v>45630</v>
      </c>
      <c r="C7" s="209">
        <v>4175</v>
      </c>
      <c r="D7" s="210">
        <v>80</v>
      </c>
      <c r="E7" s="287">
        <v>0</v>
      </c>
      <c r="F7" s="671">
        <v>2</v>
      </c>
      <c r="G7" s="211">
        <v>1</v>
      </c>
      <c r="H7" s="675">
        <v>1</v>
      </c>
      <c r="I7" s="844" t="s">
        <v>518</v>
      </c>
      <c r="J7" s="735">
        <v>24</v>
      </c>
      <c r="K7" s="262"/>
      <c r="L7" s="515" t="s">
        <v>19</v>
      </c>
      <c r="M7" s="376">
        <v>15</v>
      </c>
      <c r="N7" s="262"/>
      <c r="O7" s="262"/>
    </row>
    <row r="8" spans="1:15" ht="14.5" x14ac:dyDescent="0.35">
      <c r="A8" s="192" t="s">
        <v>10</v>
      </c>
      <c r="B8" s="193">
        <v>45631</v>
      </c>
      <c r="C8" s="205">
        <v>2145</v>
      </c>
      <c r="D8" s="206">
        <v>29</v>
      </c>
      <c r="E8" s="612">
        <v>0</v>
      </c>
      <c r="F8" s="670">
        <v>0</v>
      </c>
      <c r="G8" s="207">
        <v>0</v>
      </c>
      <c r="H8" s="675">
        <v>2</v>
      </c>
      <c r="I8" s="844" t="s">
        <v>519</v>
      </c>
      <c r="J8" s="735">
        <v>16</v>
      </c>
      <c r="K8" s="262"/>
      <c r="L8" s="836"/>
      <c r="M8" s="837"/>
      <c r="N8" s="262"/>
      <c r="O8" s="262"/>
    </row>
    <row r="9" spans="1:15" ht="14.5" x14ac:dyDescent="0.35">
      <c r="A9" s="192" t="s">
        <v>13</v>
      </c>
      <c r="B9" s="193">
        <v>45632</v>
      </c>
      <c r="C9" s="212">
        <v>1368</v>
      </c>
      <c r="D9" s="213">
        <v>88</v>
      </c>
      <c r="E9" s="611">
        <v>0</v>
      </c>
      <c r="F9" s="672">
        <v>3</v>
      </c>
      <c r="G9" s="207">
        <v>3</v>
      </c>
      <c r="H9" s="676">
        <v>6</v>
      </c>
      <c r="I9" s="845" t="s">
        <v>520</v>
      </c>
      <c r="J9" s="734">
        <v>21</v>
      </c>
      <c r="K9" s="262"/>
      <c r="N9" s="262"/>
      <c r="O9" s="262"/>
    </row>
    <row r="10" spans="1:15" ht="14.5" x14ac:dyDescent="0.35">
      <c r="A10" s="192" t="s">
        <v>16</v>
      </c>
      <c r="B10" s="193">
        <v>45633</v>
      </c>
      <c r="C10" s="214">
        <v>1885</v>
      </c>
      <c r="D10" s="195">
        <v>80</v>
      </c>
      <c r="E10" s="615">
        <v>0</v>
      </c>
      <c r="F10" s="246">
        <v>2</v>
      </c>
      <c r="G10" s="246">
        <v>0</v>
      </c>
      <c r="H10" s="254">
        <v>4</v>
      </c>
      <c r="I10" s="736" t="s">
        <v>521</v>
      </c>
      <c r="J10" s="736">
        <v>17</v>
      </c>
      <c r="K10" s="262"/>
      <c r="L10" s="262"/>
      <c r="M10" s="262"/>
      <c r="N10" s="262"/>
      <c r="O10" s="262"/>
    </row>
    <row r="11" spans="1:15" ht="14.5" x14ac:dyDescent="0.35">
      <c r="A11" s="192" t="s">
        <v>18</v>
      </c>
      <c r="B11" s="193">
        <v>45634</v>
      </c>
      <c r="C11" s="217"/>
      <c r="D11" s="218"/>
      <c r="E11" s="691"/>
      <c r="F11" s="730"/>
      <c r="G11" s="730"/>
      <c r="H11" s="729"/>
      <c r="I11" s="737"/>
      <c r="J11" s="737"/>
      <c r="K11" s="262"/>
      <c r="L11" s="262"/>
      <c r="M11" s="262"/>
      <c r="N11" s="262"/>
      <c r="O11" s="262"/>
    </row>
    <row r="12" spans="1:15" ht="14.5" x14ac:dyDescent="0.35">
      <c r="A12" s="192" t="s">
        <v>20</v>
      </c>
      <c r="B12" s="193">
        <v>45635</v>
      </c>
      <c r="C12" s="221">
        <v>3499</v>
      </c>
      <c r="D12" s="222">
        <v>141</v>
      </c>
      <c r="E12" s="692">
        <v>0</v>
      </c>
      <c r="F12" s="731">
        <v>2</v>
      </c>
      <c r="G12" s="731">
        <v>0</v>
      </c>
      <c r="H12" s="732">
        <v>1</v>
      </c>
      <c r="I12" s="738" t="s">
        <v>522</v>
      </c>
      <c r="J12" s="738">
        <v>18</v>
      </c>
      <c r="K12" s="262"/>
      <c r="L12" s="262"/>
      <c r="M12" s="262"/>
      <c r="N12" s="262"/>
      <c r="O12" s="262"/>
    </row>
    <row r="13" spans="1:15" ht="14.5" x14ac:dyDescent="0.35">
      <c r="A13" s="192" t="s">
        <v>22</v>
      </c>
      <c r="B13" s="193">
        <v>45636</v>
      </c>
      <c r="C13" s="225">
        <v>1189</v>
      </c>
      <c r="D13" s="226">
        <v>30</v>
      </c>
      <c r="E13" s="227">
        <v>0</v>
      </c>
      <c r="F13" s="227">
        <v>2</v>
      </c>
      <c r="G13" s="227">
        <v>2</v>
      </c>
      <c r="H13" s="679">
        <v>1</v>
      </c>
      <c r="I13" s="739" t="s">
        <v>521</v>
      </c>
      <c r="J13" s="739">
        <v>16</v>
      </c>
      <c r="K13" s="262"/>
      <c r="L13" s="262"/>
      <c r="M13" s="262"/>
      <c r="N13" s="262"/>
      <c r="O13" s="262"/>
    </row>
    <row r="14" spans="1:15" ht="14.5" x14ac:dyDescent="0.35">
      <c r="A14" s="192" t="s">
        <v>24</v>
      </c>
      <c r="B14" s="193">
        <v>45637</v>
      </c>
      <c r="C14" s="229">
        <v>2238</v>
      </c>
      <c r="D14" s="230">
        <v>29</v>
      </c>
      <c r="E14" s="231">
        <v>0</v>
      </c>
      <c r="F14" s="231">
        <v>1</v>
      </c>
      <c r="G14" s="231">
        <v>0</v>
      </c>
      <c r="H14" s="680">
        <v>2</v>
      </c>
      <c r="I14" s="740" t="s">
        <v>523</v>
      </c>
      <c r="J14" s="740">
        <v>15</v>
      </c>
      <c r="K14" s="262"/>
      <c r="L14" s="262"/>
      <c r="M14" s="262"/>
      <c r="N14" s="262"/>
      <c r="O14" s="262"/>
    </row>
    <row r="15" spans="1:15" ht="14.5" x14ac:dyDescent="0.35">
      <c r="A15" s="192" t="s">
        <v>10</v>
      </c>
      <c r="B15" s="193">
        <v>45638</v>
      </c>
      <c r="C15" s="225">
        <v>1888</v>
      </c>
      <c r="D15" s="226">
        <v>59</v>
      </c>
      <c r="E15" s="227">
        <v>0</v>
      </c>
      <c r="F15" s="227">
        <v>0</v>
      </c>
      <c r="G15" s="227">
        <v>0</v>
      </c>
      <c r="H15" s="679">
        <v>8</v>
      </c>
      <c r="I15" s="846" t="s">
        <v>524</v>
      </c>
      <c r="J15" s="739">
        <v>16</v>
      </c>
      <c r="K15" s="262"/>
      <c r="L15" s="262"/>
      <c r="M15" s="262"/>
      <c r="N15" s="262"/>
      <c r="O15" s="262"/>
    </row>
    <row r="16" spans="1:15" ht="14.5" x14ac:dyDescent="0.35">
      <c r="A16" s="192" t="s">
        <v>13</v>
      </c>
      <c r="B16" s="193">
        <v>45639</v>
      </c>
      <c r="C16" s="233">
        <v>3402</v>
      </c>
      <c r="D16" s="234">
        <v>80</v>
      </c>
      <c r="E16" s="235">
        <v>0</v>
      </c>
      <c r="F16" s="235">
        <v>3</v>
      </c>
      <c r="G16" s="235">
        <v>1</v>
      </c>
      <c r="H16" s="681">
        <v>2</v>
      </c>
      <c r="I16" s="847" t="s">
        <v>525</v>
      </c>
      <c r="J16" s="741">
        <v>21</v>
      </c>
      <c r="K16" s="262"/>
      <c r="L16" s="262"/>
      <c r="M16" s="262"/>
      <c r="N16" s="262"/>
      <c r="O16" s="262"/>
    </row>
    <row r="17" spans="1:15" ht="14.5" x14ac:dyDescent="0.35">
      <c r="A17" s="192" t="s">
        <v>16</v>
      </c>
      <c r="B17" s="193">
        <v>45640</v>
      </c>
      <c r="C17" s="225">
        <v>2211</v>
      </c>
      <c r="D17" s="226">
        <v>29</v>
      </c>
      <c r="E17" s="227">
        <v>0</v>
      </c>
      <c r="F17" s="227">
        <v>1</v>
      </c>
      <c r="G17" s="227">
        <v>0</v>
      </c>
      <c r="H17" s="679">
        <v>2</v>
      </c>
      <c r="I17" s="846" t="s">
        <v>526</v>
      </c>
      <c r="J17" s="739">
        <v>27</v>
      </c>
      <c r="K17" s="262"/>
      <c r="L17" s="262"/>
      <c r="M17" s="262"/>
      <c r="N17" s="262"/>
      <c r="O17" s="262"/>
    </row>
    <row r="18" spans="1:15" ht="14.5" x14ac:dyDescent="0.35">
      <c r="A18" s="192" t="s">
        <v>18</v>
      </c>
      <c r="B18" s="193">
        <v>45641</v>
      </c>
      <c r="C18" s="233"/>
      <c r="D18" s="195"/>
      <c r="E18" s="215"/>
      <c r="F18" s="215"/>
      <c r="G18" s="215"/>
      <c r="H18" s="682"/>
      <c r="I18" s="848"/>
      <c r="J18" s="736"/>
      <c r="K18" s="262"/>
      <c r="L18" s="262"/>
      <c r="M18" s="262"/>
      <c r="N18" s="262"/>
      <c r="O18" s="262"/>
    </row>
    <row r="19" spans="1:15" ht="14.5" x14ac:dyDescent="0.35">
      <c r="A19" s="192" t="s">
        <v>20</v>
      </c>
      <c r="B19" s="193">
        <v>45642</v>
      </c>
      <c r="C19" s="209">
        <v>3573</v>
      </c>
      <c r="D19" s="213">
        <v>59</v>
      </c>
      <c r="E19" s="203">
        <v>0</v>
      </c>
      <c r="F19" s="203">
        <v>3</v>
      </c>
      <c r="G19" s="203">
        <v>0</v>
      </c>
      <c r="H19" s="676">
        <v>1</v>
      </c>
      <c r="I19" s="845" t="s">
        <v>527</v>
      </c>
      <c r="J19" s="734">
        <v>21</v>
      </c>
      <c r="K19" s="262"/>
      <c r="L19" s="262"/>
      <c r="M19" s="262"/>
      <c r="N19" s="262"/>
      <c r="O19" s="262"/>
    </row>
    <row r="20" spans="1:15" ht="14.5" x14ac:dyDescent="0.35">
      <c r="A20" s="192" t="s">
        <v>22</v>
      </c>
      <c r="B20" s="193">
        <v>45643</v>
      </c>
      <c r="C20" s="233">
        <v>3977</v>
      </c>
      <c r="D20" s="234">
        <v>118</v>
      </c>
      <c r="E20" s="215">
        <v>0</v>
      </c>
      <c r="F20" s="215">
        <v>3</v>
      </c>
      <c r="G20" s="235">
        <v>1</v>
      </c>
      <c r="H20" s="682">
        <v>4</v>
      </c>
      <c r="I20" s="848" t="s">
        <v>528</v>
      </c>
      <c r="J20" s="736">
        <v>22</v>
      </c>
      <c r="K20" s="262"/>
      <c r="L20" s="262"/>
      <c r="M20" s="262"/>
      <c r="N20" s="262"/>
      <c r="O20" s="262"/>
    </row>
    <row r="21" spans="1:15" ht="14.5" x14ac:dyDescent="0.35">
      <c r="A21" s="192" t="s">
        <v>24</v>
      </c>
      <c r="B21" s="193">
        <v>45644</v>
      </c>
      <c r="C21" s="237">
        <v>2403</v>
      </c>
      <c r="D21" s="238">
        <v>52</v>
      </c>
      <c r="E21" s="239">
        <v>0</v>
      </c>
      <c r="F21" s="239">
        <v>0</v>
      </c>
      <c r="G21" s="239">
        <v>0</v>
      </c>
      <c r="H21" s="683">
        <v>3</v>
      </c>
      <c r="I21" s="849" t="s">
        <v>529</v>
      </c>
      <c r="J21" s="742">
        <v>13</v>
      </c>
      <c r="K21" s="262"/>
      <c r="L21" s="262"/>
      <c r="M21" s="262"/>
      <c r="N21" s="262"/>
      <c r="O21" s="262"/>
    </row>
    <row r="22" spans="1:15" ht="14.5" x14ac:dyDescent="0.35">
      <c r="A22" s="192" t="s">
        <v>10</v>
      </c>
      <c r="B22" s="193">
        <v>45645</v>
      </c>
      <c r="C22" s="214">
        <v>2934</v>
      </c>
      <c r="D22" s="195">
        <v>139</v>
      </c>
      <c r="E22" s="215">
        <v>0</v>
      </c>
      <c r="F22" s="215">
        <v>1</v>
      </c>
      <c r="G22" s="215">
        <v>1</v>
      </c>
      <c r="H22" s="682">
        <v>1</v>
      </c>
      <c r="I22" s="848" t="s">
        <v>530</v>
      </c>
      <c r="J22" s="736">
        <v>19</v>
      </c>
      <c r="K22" s="262"/>
      <c r="L22" s="262"/>
      <c r="M22" s="262"/>
      <c r="N22" s="262"/>
      <c r="O22" s="262"/>
    </row>
    <row r="23" spans="1:15" ht="14.5" x14ac:dyDescent="0.35">
      <c r="A23" s="192" t="s">
        <v>13</v>
      </c>
      <c r="B23" s="193">
        <v>45646</v>
      </c>
      <c r="C23" s="237">
        <v>2695</v>
      </c>
      <c r="D23" s="238">
        <v>165</v>
      </c>
      <c r="E23" s="239">
        <v>0</v>
      </c>
      <c r="F23" s="239">
        <v>1</v>
      </c>
      <c r="G23" s="215">
        <v>1</v>
      </c>
      <c r="H23" s="683">
        <v>1</v>
      </c>
      <c r="I23" s="849" t="s">
        <v>531</v>
      </c>
      <c r="J23" s="742">
        <v>22</v>
      </c>
      <c r="K23" s="262"/>
      <c r="L23" s="262"/>
      <c r="M23" s="262"/>
      <c r="N23" s="262"/>
      <c r="O23" s="262"/>
    </row>
    <row r="24" spans="1:15" ht="14.5" x14ac:dyDescent="0.35">
      <c r="A24" s="192" t="s">
        <v>16</v>
      </c>
      <c r="B24" s="193">
        <v>45647</v>
      </c>
      <c r="C24" s="205">
        <v>3376</v>
      </c>
      <c r="D24" s="206">
        <v>180</v>
      </c>
      <c r="E24" s="207">
        <v>0</v>
      </c>
      <c r="F24" s="207">
        <v>0</v>
      </c>
      <c r="G24" s="207">
        <v>0</v>
      </c>
      <c r="H24" s="675">
        <v>4</v>
      </c>
      <c r="I24" s="844" t="s">
        <v>532</v>
      </c>
      <c r="J24" s="735">
        <v>17</v>
      </c>
      <c r="K24" s="262"/>
      <c r="L24" s="262"/>
      <c r="M24" s="262"/>
      <c r="N24" s="262"/>
      <c r="O24" s="262"/>
    </row>
    <row r="25" spans="1:15" ht="14.5" x14ac:dyDescent="0.35">
      <c r="A25" s="192" t="s">
        <v>18</v>
      </c>
      <c r="B25" s="193">
        <v>45648</v>
      </c>
      <c r="C25" s="209"/>
      <c r="D25" s="210"/>
      <c r="E25" s="211"/>
      <c r="F25" s="211"/>
      <c r="G25" s="211"/>
      <c r="H25" s="684"/>
      <c r="I25" s="850"/>
      <c r="J25" s="743"/>
      <c r="K25" s="262"/>
      <c r="L25" s="262"/>
      <c r="M25" s="262"/>
      <c r="N25" s="262"/>
      <c r="O25" s="262"/>
    </row>
    <row r="26" spans="1:15" ht="14.5" x14ac:dyDescent="0.35">
      <c r="A26" s="192" t="s">
        <v>20</v>
      </c>
      <c r="B26" s="193">
        <v>45649</v>
      </c>
      <c r="C26" s="233">
        <v>2007</v>
      </c>
      <c r="D26" s="234">
        <v>58</v>
      </c>
      <c r="E26" s="235">
        <v>0</v>
      </c>
      <c r="F26" s="235">
        <v>1</v>
      </c>
      <c r="G26" s="235">
        <v>0</v>
      </c>
      <c r="H26" s="681">
        <v>2</v>
      </c>
      <c r="I26" s="847" t="s">
        <v>533</v>
      </c>
      <c r="J26" s="741">
        <v>16</v>
      </c>
      <c r="K26" s="262"/>
      <c r="L26" s="262"/>
      <c r="M26" s="262"/>
      <c r="N26" s="262"/>
      <c r="O26" s="262"/>
    </row>
    <row r="27" spans="1:15" ht="14.5" x14ac:dyDescent="0.35">
      <c r="A27" s="192" t="s">
        <v>22</v>
      </c>
      <c r="B27" s="193">
        <v>45650</v>
      </c>
      <c r="C27" s="237">
        <v>1193</v>
      </c>
      <c r="D27" s="238">
        <v>25</v>
      </c>
      <c r="E27" s="239">
        <v>0</v>
      </c>
      <c r="F27" s="239">
        <v>0</v>
      </c>
      <c r="G27" s="239">
        <v>0</v>
      </c>
      <c r="H27" s="683">
        <v>0</v>
      </c>
      <c r="I27" s="849" t="s">
        <v>534</v>
      </c>
      <c r="J27" s="742">
        <v>6</v>
      </c>
      <c r="K27" s="262"/>
      <c r="L27" s="262"/>
      <c r="M27" s="262"/>
      <c r="N27" s="262"/>
      <c r="O27" s="262"/>
    </row>
    <row r="28" spans="1:15" ht="14.5" x14ac:dyDescent="0.35">
      <c r="A28" s="192" t="s">
        <v>24</v>
      </c>
      <c r="B28" s="193">
        <v>45651</v>
      </c>
      <c r="C28" s="233"/>
      <c r="D28" s="234"/>
      <c r="E28" s="235"/>
      <c r="F28" s="235"/>
      <c r="G28" s="235"/>
      <c r="H28" s="681"/>
      <c r="I28" s="847"/>
      <c r="J28" s="741"/>
      <c r="K28" s="262"/>
      <c r="L28" s="262"/>
      <c r="M28" s="262"/>
      <c r="N28" s="262"/>
      <c r="O28" s="262"/>
    </row>
    <row r="29" spans="1:15" ht="14.5" x14ac:dyDescent="0.35">
      <c r="A29" s="192" t="s">
        <v>10</v>
      </c>
      <c r="B29" s="193">
        <v>45652</v>
      </c>
      <c r="C29" s="209">
        <v>1948</v>
      </c>
      <c r="D29" s="242">
        <v>50</v>
      </c>
      <c r="E29" s="243">
        <v>0</v>
      </c>
      <c r="F29" s="244">
        <v>0</v>
      </c>
      <c r="G29" s="211">
        <v>0</v>
      </c>
      <c r="H29" s="684">
        <v>2</v>
      </c>
      <c r="I29" s="850" t="s">
        <v>535</v>
      </c>
      <c r="J29" s="743">
        <v>17</v>
      </c>
      <c r="K29" s="262"/>
      <c r="L29" s="262"/>
      <c r="M29" s="262"/>
      <c r="N29" s="262"/>
      <c r="O29" s="262"/>
    </row>
    <row r="30" spans="1:15" ht="14.5" x14ac:dyDescent="0.35">
      <c r="A30" s="192" t="s">
        <v>13</v>
      </c>
      <c r="B30" s="193">
        <v>45653</v>
      </c>
      <c r="C30" s="214">
        <v>3093</v>
      </c>
      <c r="D30" s="245">
        <v>29</v>
      </c>
      <c r="E30" s="246">
        <v>0</v>
      </c>
      <c r="F30" s="247">
        <v>2</v>
      </c>
      <c r="G30" s="246">
        <v>3</v>
      </c>
      <c r="H30" s="246">
        <v>1</v>
      </c>
      <c r="I30" s="848" t="s">
        <v>536</v>
      </c>
      <c r="J30" s="736">
        <v>12</v>
      </c>
      <c r="K30" s="262"/>
      <c r="L30" s="262"/>
      <c r="M30" s="508"/>
      <c r="N30" s="262"/>
      <c r="O30" s="262"/>
    </row>
    <row r="31" spans="1:15" ht="14.5" x14ac:dyDescent="0.35">
      <c r="A31" s="192" t="s">
        <v>16</v>
      </c>
      <c r="B31" s="193">
        <v>45654</v>
      </c>
      <c r="C31" s="214">
        <v>3400</v>
      </c>
      <c r="D31" s="249">
        <v>58</v>
      </c>
      <c r="E31" s="246">
        <v>0</v>
      </c>
      <c r="F31" s="247">
        <v>1</v>
      </c>
      <c r="G31" s="250">
        <v>0</v>
      </c>
      <c r="H31" s="682">
        <v>2</v>
      </c>
      <c r="I31" s="848" t="s">
        <v>537</v>
      </c>
      <c r="J31" s="736">
        <v>18</v>
      </c>
      <c r="K31" s="262"/>
      <c r="L31" s="262"/>
      <c r="M31" s="508"/>
      <c r="N31" s="262"/>
      <c r="O31" s="262"/>
    </row>
    <row r="32" spans="1:15" ht="14.5" x14ac:dyDescent="0.35">
      <c r="A32" s="192" t="s">
        <v>18</v>
      </c>
      <c r="B32" s="193">
        <v>45655</v>
      </c>
      <c r="C32" s="214"/>
      <c r="D32" s="249"/>
      <c r="E32" s="246"/>
      <c r="F32" s="247"/>
      <c r="G32" s="250"/>
      <c r="H32" s="682"/>
      <c r="I32" s="848"/>
      <c r="J32" s="736"/>
      <c r="K32" s="262"/>
      <c r="L32" s="262"/>
      <c r="M32" s="508"/>
      <c r="N32" s="262"/>
      <c r="O32" s="262"/>
    </row>
    <row r="33" spans="1:15" ht="14.5" x14ac:dyDescent="0.35">
      <c r="A33" s="192" t="s">
        <v>20</v>
      </c>
      <c r="B33" s="193">
        <v>45656</v>
      </c>
      <c r="C33" s="252">
        <v>2912</v>
      </c>
      <c r="D33" s="253">
        <v>0</v>
      </c>
      <c r="E33" s="246">
        <v>0</v>
      </c>
      <c r="F33" s="254">
        <v>1</v>
      </c>
      <c r="G33" s="250">
        <v>0</v>
      </c>
      <c r="H33" s="682">
        <v>3</v>
      </c>
      <c r="I33" s="848" t="s">
        <v>538</v>
      </c>
      <c r="J33" s="736">
        <v>24</v>
      </c>
      <c r="K33" s="262"/>
      <c r="L33" s="262"/>
      <c r="M33" s="262"/>
      <c r="N33" s="262"/>
      <c r="O33" s="262"/>
    </row>
    <row r="34" spans="1:15" thickBot="1" x14ac:dyDescent="0.4">
      <c r="A34" s="192" t="s">
        <v>22</v>
      </c>
      <c r="B34" s="193">
        <v>45657</v>
      </c>
      <c r="C34" s="252">
        <v>3499</v>
      </c>
      <c r="D34" s="252">
        <v>29</v>
      </c>
      <c r="E34" s="246">
        <v>0</v>
      </c>
      <c r="F34" s="246">
        <v>2</v>
      </c>
      <c r="G34" s="246">
        <v>0</v>
      </c>
      <c r="H34" s="685">
        <v>0</v>
      </c>
      <c r="I34" s="848" t="s">
        <v>539</v>
      </c>
      <c r="J34" s="736">
        <v>8</v>
      </c>
      <c r="K34" s="262"/>
      <c r="L34" s="262"/>
      <c r="M34" s="508"/>
      <c r="N34" s="262"/>
      <c r="O34" s="262"/>
    </row>
    <row r="35" spans="1:15" thickBot="1" x14ac:dyDescent="0.4">
      <c r="A35" s="257"/>
      <c r="B35" s="651"/>
      <c r="C35" s="653">
        <f t="shared" ref="C35:H35" si="0">SUM(C4:C34)</f>
        <v>70795</v>
      </c>
      <c r="D35" s="654">
        <f t="shared" si="0"/>
        <v>1723</v>
      </c>
      <c r="E35" s="655">
        <f t="shared" si="0"/>
        <v>0</v>
      </c>
      <c r="F35" s="655">
        <f t="shared" si="0"/>
        <v>33</v>
      </c>
      <c r="G35" s="655">
        <f t="shared" si="0"/>
        <v>13</v>
      </c>
      <c r="H35" s="656">
        <f t="shared" si="0"/>
        <v>59</v>
      </c>
      <c r="I35" s="851" t="s">
        <v>540</v>
      </c>
      <c r="J35" s="658"/>
      <c r="K35" s="262"/>
      <c r="L35" s="262"/>
      <c r="M35" s="262"/>
      <c r="N35" s="262"/>
      <c r="O35" s="262"/>
    </row>
    <row r="36" spans="1:15" ht="14.5" x14ac:dyDescent="0.35">
      <c r="A36" s="262"/>
      <c r="B36" s="474"/>
      <c r="C36" s="509"/>
      <c r="D36" s="510"/>
      <c r="E36" s="475"/>
      <c r="F36" s="652"/>
      <c r="G36" s="262"/>
      <c r="H36" s="262"/>
      <c r="I36" s="262"/>
      <c r="J36" s="262"/>
      <c r="K36" s="262"/>
      <c r="L36" s="262"/>
      <c r="M36" s="262"/>
    </row>
    <row r="37" spans="1:15" ht="14.5" x14ac:dyDescent="0.35">
      <c r="A37" s="262"/>
      <c r="B37" s="474"/>
      <c r="C37" s="508"/>
      <c r="D37" s="508"/>
      <c r="E37" s="475"/>
      <c r="F37" s="511"/>
      <c r="G37" s="262"/>
      <c r="H37" s="262"/>
      <c r="I37" s="262"/>
      <c r="J37" s="262"/>
      <c r="K37" s="262"/>
      <c r="L37" s="262"/>
      <c r="M37" s="262"/>
    </row>
    <row r="38" spans="1:15" ht="14.5" x14ac:dyDescent="0.35">
      <c r="A38" s="262"/>
      <c r="B38" s="474"/>
      <c r="C38" s="475"/>
      <c r="D38" s="508"/>
      <c r="E38" s="475"/>
      <c r="F38" s="511"/>
      <c r="G38" s="262"/>
      <c r="H38" s="262"/>
      <c r="I38" s="262"/>
      <c r="J38" s="262"/>
      <c r="K38" s="262"/>
      <c r="L38" s="262"/>
      <c r="M38" s="262"/>
    </row>
    <row r="39" spans="1:15" ht="14.5" x14ac:dyDescent="0.35">
      <c r="A39" s="262"/>
      <c r="B39" s="474"/>
      <c r="C39" s="508"/>
      <c r="D39" s="508"/>
      <c r="E39" s="508"/>
      <c r="F39" s="262"/>
      <c r="G39" s="262"/>
      <c r="H39" s="262"/>
      <c r="I39" s="262"/>
      <c r="J39" s="262"/>
      <c r="K39" s="262"/>
      <c r="L39" s="262"/>
      <c r="M39" s="262"/>
    </row>
    <row r="40" spans="1:15" ht="19" thickBot="1" x14ac:dyDescent="0.5">
      <c r="A40" s="262"/>
      <c r="B40" s="474"/>
      <c r="C40" s="508"/>
      <c r="D40" s="512"/>
      <c r="E40" s="508"/>
      <c r="F40" s="262"/>
      <c r="G40" s="262"/>
      <c r="H40" s="262"/>
      <c r="I40" s="262"/>
      <c r="J40" s="262"/>
      <c r="K40" s="262"/>
      <c r="L40" s="262"/>
      <c r="M40" s="262"/>
    </row>
    <row r="41" spans="1:15" ht="15.65" customHeight="1" thickBot="1" x14ac:dyDescent="0.45">
      <c r="A41" s="348"/>
      <c r="B41" s="931" t="s">
        <v>37</v>
      </c>
      <c r="C41" s="928" t="s">
        <v>0</v>
      </c>
      <c r="D41" s="298" t="s">
        <v>2</v>
      </c>
      <c r="E41" s="184" t="s">
        <v>3</v>
      </c>
      <c r="F41" s="772" t="s">
        <v>4</v>
      </c>
      <c r="G41" s="776" t="s">
        <v>514</v>
      </c>
      <c r="H41" s="774" t="s">
        <v>143</v>
      </c>
      <c r="I41" s="186" t="s">
        <v>6</v>
      </c>
      <c r="J41" s="773" t="s">
        <v>7</v>
      </c>
      <c r="M41" s="349"/>
      <c r="N41" s="349"/>
    </row>
    <row r="42" spans="1:15" ht="29.25" customHeight="1" x14ac:dyDescent="0.4">
      <c r="A42" s="497"/>
      <c r="B42" s="932"/>
      <c r="C42" s="929"/>
      <c r="D42" s="299" t="s">
        <v>0</v>
      </c>
      <c r="E42" s="188" t="s">
        <v>0</v>
      </c>
      <c r="F42" s="772" t="s">
        <v>0</v>
      </c>
      <c r="G42" s="640" t="s">
        <v>515</v>
      </c>
      <c r="H42" s="664" t="s">
        <v>0</v>
      </c>
      <c r="I42" s="665" t="s">
        <v>8</v>
      </c>
      <c r="J42" s="666" t="s">
        <v>9</v>
      </c>
      <c r="M42" s="262"/>
      <c r="N42" s="262"/>
    </row>
    <row r="43" spans="1:15" ht="14.5" x14ac:dyDescent="0.35">
      <c r="A43" s="192" t="s">
        <v>18</v>
      </c>
      <c r="B43" s="193">
        <v>45627</v>
      </c>
      <c r="C43" s="194"/>
      <c r="D43" s="195"/>
      <c r="E43" s="286"/>
      <c r="F43" s="516"/>
      <c r="G43" s="688"/>
      <c r="H43" s="727"/>
      <c r="I43" s="724"/>
      <c r="J43" s="744"/>
      <c r="K43" s="923" t="s">
        <v>12</v>
      </c>
      <c r="L43" s="923"/>
      <c r="M43" s="262"/>
      <c r="N43" s="262"/>
    </row>
    <row r="44" spans="1:15" ht="14.5" x14ac:dyDescent="0.35">
      <c r="A44" s="192" t="s">
        <v>20</v>
      </c>
      <c r="B44" s="193">
        <v>45628</v>
      </c>
      <c r="C44" s="212">
        <v>1598</v>
      </c>
      <c r="D44" s="213">
        <v>70</v>
      </c>
      <c r="E44" s="203">
        <v>0</v>
      </c>
      <c r="F44" s="611">
        <v>0</v>
      </c>
      <c r="G44" s="618">
        <v>1</v>
      </c>
      <c r="H44" s="690">
        <v>3</v>
      </c>
      <c r="I44" s="246" t="s">
        <v>541</v>
      </c>
      <c r="J44" s="745">
        <v>9</v>
      </c>
      <c r="K44" s="513" t="s">
        <v>15</v>
      </c>
      <c r="L44" s="409">
        <v>48000</v>
      </c>
      <c r="M44" s="262"/>
      <c r="N44" s="262"/>
    </row>
    <row r="45" spans="1:15" ht="14.5" x14ac:dyDescent="0.35">
      <c r="A45" s="192" t="s">
        <v>22</v>
      </c>
      <c r="B45" s="193">
        <v>45629</v>
      </c>
      <c r="C45" s="205">
        <v>2319</v>
      </c>
      <c r="D45" s="206">
        <v>55</v>
      </c>
      <c r="E45" s="207">
        <v>0</v>
      </c>
      <c r="F45" s="612">
        <v>1</v>
      </c>
      <c r="G45" s="619">
        <v>3</v>
      </c>
      <c r="H45" s="507">
        <v>0</v>
      </c>
      <c r="I45" s="619" t="s">
        <v>542</v>
      </c>
      <c r="J45" s="746">
        <v>12</v>
      </c>
      <c r="K45" s="504" t="s">
        <v>17</v>
      </c>
      <c r="L45" s="411">
        <v>2600</v>
      </c>
      <c r="M45" s="262"/>
      <c r="N45" s="262"/>
    </row>
    <row r="46" spans="1:15" ht="14.5" x14ac:dyDescent="0.35">
      <c r="A46" s="192" t="s">
        <v>24</v>
      </c>
      <c r="B46" s="193">
        <v>45630</v>
      </c>
      <c r="C46" s="209">
        <v>2229</v>
      </c>
      <c r="D46" s="210">
        <v>155</v>
      </c>
      <c r="E46" s="211">
        <v>0</v>
      </c>
      <c r="F46" s="287">
        <v>0</v>
      </c>
      <c r="G46" s="243">
        <v>1</v>
      </c>
      <c r="H46" s="279">
        <v>1</v>
      </c>
      <c r="I46" s="650" t="s">
        <v>543</v>
      </c>
      <c r="J46" s="747">
        <v>9</v>
      </c>
      <c r="K46" s="515" t="s">
        <v>19</v>
      </c>
      <c r="L46" s="413">
        <v>15</v>
      </c>
      <c r="M46" s="262"/>
      <c r="N46" s="262"/>
    </row>
    <row r="47" spans="1:15" ht="14.5" x14ac:dyDescent="0.35">
      <c r="A47" s="192" t="s">
        <v>10</v>
      </c>
      <c r="B47" s="193">
        <v>45631</v>
      </c>
      <c r="C47" s="205">
        <v>1177</v>
      </c>
      <c r="D47" s="206">
        <v>0</v>
      </c>
      <c r="E47" s="207">
        <v>0</v>
      </c>
      <c r="F47" s="612">
        <v>0</v>
      </c>
      <c r="G47" s="619">
        <v>1</v>
      </c>
      <c r="H47" s="507">
        <v>1</v>
      </c>
      <c r="I47" s="642" t="s">
        <v>544</v>
      </c>
      <c r="J47" s="746">
        <v>11</v>
      </c>
      <c r="K47" s="838"/>
      <c r="L47" s="839"/>
      <c r="M47" s="262"/>
      <c r="N47" s="262"/>
    </row>
    <row r="48" spans="1:15" ht="14.5" x14ac:dyDescent="0.35">
      <c r="A48" s="192" t="s">
        <v>13</v>
      </c>
      <c r="B48" s="193">
        <v>45632</v>
      </c>
      <c r="C48" s="212">
        <v>617</v>
      </c>
      <c r="D48" s="213">
        <v>85</v>
      </c>
      <c r="E48" s="203">
        <v>0</v>
      </c>
      <c r="F48" s="611">
        <v>0</v>
      </c>
      <c r="G48" s="619">
        <v>0</v>
      </c>
      <c r="H48" s="690">
        <v>1</v>
      </c>
      <c r="I48" s="641" t="s">
        <v>545</v>
      </c>
      <c r="J48" s="745">
        <v>10</v>
      </c>
      <c r="K48" s="262"/>
      <c r="L48" s="262"/>
      <c r="M48" s="262"/>
      <c r="N48" s="262"/>
    </row>
    <row r="49" spans="1:14" ht="14.5" x14ac:dyDescent="0.35">
      <c r="A49" s="192" t="s">
        <v>16</v>
      </c>
      <c r="B49" s="193">
        <v>45633</v>
      </c>
      <c r="C49" s="214">
        <v>1397</v>
      </c>
      <c r="D49" s="195">
        <v>0</v>
      </c>
      <c r="E49" s="215">
        <v>0</v>
      </c>
      <c r="F49" s="615">
        <v>0</v>
      </c>
      <c r="G49" s="246">
        <v>0</v>
      </c>
      <c r="H49" s="247">
        <v>0</v>
      </c>
      <c r="I49" s="643" t="s">
        <v>546</v>
      </c>
      <c r="J49" s="748">
        <v>10</v>
      </c>
      <c r="K49" s="262"/>
      <c r="L49" s="262"/>
      <c r="M49" s="262"/>
      <c r="N49" s="262"/>
    </row>
    <row r="50" spans="1:14" ht="14.5" x14ac:dyDescent="0.35">
      <c r="A50" s="192" t="s">
        <v>18</v>
      </c>
      <c r="B50" s="193">
        <v>45634</v>
      </c>
      <c r="C50" s="217"/>
      <c r="D50" s="218"/>
      <c r="E50" s="219"/>
      <c r="F50" s="219"/>
      <c r="G50" s="300"/>
      <c r="H50" s="691"/>
      <c r="I50" s="644"/>
      <c r="J50" s="749"/>
      <c r="K50" s="262"/>
      <c r="L50" s="262"/>
      <c r="M50" s="262"/>
      <c r="N50" s="262"/>
    </row>
    <row r="51" spans="1:14" ht="14.5" x14ac:dyDescent="0.35">
      <c r="A51" s="192" t="s">
        <v>20</v>
      </c>
      <c r="B51" s="193">
        <v>45635</v>
      </c>
      <c r="C51" s="221">
        <v>1383</v>
      </c>
      <c r="D51" s="222">
        <v>0</v>
      </c>
      <c r="E51" s="223">
        <v>0</v>
      </c>
      <c r="F51" s="223">
        <v>0</v>
      </c>
      <c r="G51" s="223">
        <v>0</v>
      </c>
      <c r="H51" s="692">
        <v>0</v>
      </c>
      <c r="I51" s="645" t="s">
        <v>547</v>
      </c>
      <c r="J51" s="750">
        <v>7</v>
      </c>
      <c r="K51" s="262"/>
      <c r="L51" s="262"/>
      <c r="M51" s="262"/>
      <c r="N51" s="262"/>
    </row>
    <row r="52" spans="1:14" ht="14.5" x14ac:dyDescent="0.35">
      <c r="A52" s="192" t="s">
        <v>22</v>
      </c>
      <c r="B52" s="193">
        <v>45636</v>
      </c>
      <c r="C52" s="225">
        <v>1657</v>
      </c>
      <c r="D52" s="226">
        <v>90</v>
      </c>
      <c r="E52" s="227">
        <v>0</v>
      </c>
      <c r="F52" s="227">
        <v>2</v>
      </c>
      <c r="G52" s="227">
        <v>0</v>
      </c>
      <c r="H52" s="693">
        <v>1</v>
      </c>
      <c r="I52" s="646" t="s">
        <v>548</v>
      </c>
      <c r="J52" s="751">
        <v>14</v>
      </c>
      <c r="K52" s="262"/>
      <c r="L52" s="262"/>
      <c r="M52" s="262"/>
      <c r="N52" s="262"/>
    </row>
    <row r="53" spans="1:14" ht="14.5" x14ac:dyDescent="0.35">
      <c r="A53" s="192" t="s">
        <v>24</v>
      </c>
      <c r="B53" s="193">
        <v>45637</v>
      </c>
      <c r="C53" s="229">
        <v>2158</v>
      </c>
      <c r="D53" s="230">
        <v>0</v>
      </c>
      <c r="E53" s="231">
        <v>0</v>
      </c>
      <c r="F53" s="231">
        <v>0</v>
      </c>
      <c r="G53" s="231">
        <v>0</v>
      </c>
      <c r="H53" s="694">
        <v>0</v>
      </c>
      <c r="I53" s="647" t="s">
        <v>549</v>
      </c>
      <c r="J53" s="752">
        <v>13</v>
      </c>
      <c r="K53" s="262"/>
      <c r="L53" s="262"/>
      <c r="M53" s="262"/>
      <c r="N53" s="262"/>
    </row>
    <row r="54" spans="1:14" ht="14.5" x14ac:dyDescent="0.35">
      <c r="A54" s="192" t="s">
        <v>10</v>
      </c>
      <c r="B54" s="193">
        <v>45638</v>
      </c>
      <c r="C54" s="225">
        <v>2478</v>
      </c>
      <c r="D54" s="226">
        <v>0</v>
      </c>
      <c r="E54" s="227">
        <v>0</v>
      </c>
      <c r="F54" s="227">
        <v>0</v>
      </c>
      <c r="G54" s="227">
        <v>1</v>
      </c>
      <c r="H54" s="693">
        <v>1</v>
      </c>
      <c r="I54" s="646" t="s">
        <v>550</v>
      </c>
      <c r="J54" s="751">
        <v>12</v>
      </c>
      <c r="K54" s="262"/>
      <c r="L54" s="262"/>
      <c r="M54" s="262"/>
      <c r="N54" s="262"/>
    </row>
    <row r="55" spans="1:14" ht="14.5" x14ac:dyDescent="0.35">
      <c r="A55" s="192" t="s">
        <v>13</v>
      </c>
      <c r="B55" s="193">
        <v>45639</v>
      </c>
      <c r="C55" s="233">
        <v>1694</v>
      </c>
      <c r="D55" s="234">
        <v>40</v>
      </c>
      <c r="E55" s="235">
        <v>0</v>
      </c>
      <c r="F55" s="235">
        <v>0</v>
      </c>
      <c r="G55" s="235">
        <v>0</v>
      </c>
      <c r="H55" s="481">
        <v>0</v>
      </c>
      <c r="I55" s="648" t="s">
        <v>549</v>
      </c>
      <c r="J55" s="753">
        <v>15</v>
      </c>
      <c r="K55" s="262"/>
      <c r="L55" s="262"/>
      <c r="M55" s="262"/>
      <c r="N55" s="262"/>
    </row>
    <row r="56" spans="1:14" ht="14.5" x14ac:dyDescent="0.35">
      <c r="A56" s="192" t="s">
        <v>16</v>
      </c>
      <c r="B56" s="193">
        <v>45640</v>
      </c>
      <c r="C56" s="225">
        <v>3344</v>
      </c>
      <c r="D56" s="226">
        <v>125</v>
      </c>
      <c r="E56" s="227">
        <v>2</v>
      </c>
      <c r="F56" s="227">
        <v>2</v>
      </c>
      <c r="G56" s="227">
        <v>0</v>
      </c>
      <c r="H56" s="693">
        <v>9</v>
      </c>
      <c r="I56" s="646" t="s">
        <v>551</v>
      </c>
      <c r="J56" s="751">
        <v>20</v>
      </c>
      <c r="K56" s="262"/>
      <c r="L56" s="262"/>
      <c r="M56" s="262"/>
      <c r="N56" s="262"/>
    </row>
    <row r="57" spans="1:14" ht="14.5" x14ac:dyDescent="0.35">
      <c r="A57" s="192" t="s">
        <v>18</v>
      </c>
      <c r="B57" s="193">
        <v>45641</v>
      </c>
      <c r="C57" s="233"/>
      <c r="D57" s="195"/>
      <c r="E57" s="215"/>
      <c r="F57" s="215"/>
      <c r="G57" s="215"/>
      <c r="H57" s="615"/>
      <c r="I57" s="643"/>
      <c r="J57" s="748"/>
      <c r="K57" s="262"/>
      <c r="L57" s="262"/>
      <c r="M57" s="262"/>
      <c r="N57" s="262"/>
    </row>
    <row r="58" spans="1:14" ht="14.5" x14ac:dyDescent="0.35">
      <c r="A58" s="192" t="s">
        <v>20</v>
      </c>
      <c r="B58" s="193">
        <v>45642</v>
      </c>
      <c r="C58" s="209">
        <v>1139</v>
      </c>
      <c r="D58" s="213">
        <v>70</v>
      </c>
      <c r="E58" s="203">
        <v>1</v>
      </c>
      <c r="F58" s="203">
        <v>0</v>
      </c>
      <c r="G58" s="203">
        <v>0</v>
      </c>
      <c r="H58" s="611">
        <v>1</v>
      </c>
      <c r="I58" s="641" t="s">
        <v>552</v>
      </c>
      <c r="J58" s="745">
        <v>15</v>
      </c>
      <c r="K58" s="262"/>
      <c r="L58" s="262"/>
      <c r="M58" s="262"/>
      <c r="N58" s="262"/>
    </row>
    <row r="59" spans="1:14" ht="14.5" x14ac:dyDescent="0.35">
      <c r="A59" s="192" t="s">
        <v>22</v>
      </c>
      <c r="B59" s="193">
        <v>45643</v>
      </c>
      <c r="C59" s="233">
        <v>1993</v>
      </c>
      <c r="D59" s="234">
        <v>255</v>
      </c>
      <c r="E59" s="215">
        <v>0</v>
      </c>
      <c r="F59" s="215">
        <v>0</v>
      </c>
      <c r="G59" s="235">
        <v>0</v>
      </c>
      <c r="H59" s="615">
        <v>4</v>
      </c>
      <c r="I59" s="643" t="s">
        <v>553</v>
      </c>
      <c r="J59" s="748">
        <v>13</v>
      </c>
      <c r="K59" s="262"/>
      <c r="L59" s="262"/>
      <c r="M59" s="262"/>
      <c r="N59" s="262"/>
    </row>
    <row r="60" spans="1:14" ht="14.5" x14ac:dyDescent="0.35">
      <c r="A60" s="192" t="s">
        <v>24</v>
      </c>
      <c r="B60" s="193">
        <v>45644</v>
      </c>
      <c r="C60" s="237">
        <v>1647</v>
      </c>
      <c r="D60" s="238">
        <v>0</v>
      </c>
      <c r="E60" s="239">
        <v>0</v>
      </c>
      <c r="F60" s="239">
        <v>0</v>
      </c>
      <c r="G60" s="239">
        <v>0</v>
      </c>
      <c r="H60" s="695">
        <v>1</v>
      </c>
      <c r="I60" s="649" t="s">
        <v>554</v>
      </c>
      <c r="J60" s="754">
        <v>12</v>
      </c>
      <c r="K60" s="262"/>
      <c r="L60" s="262"/>
      <c r="M60" s="262"/>
      <c r="N60" s="262"/>
    </row>
    <row r="61" spans="1:14" ht="14.5" x14ac:dyDescent="0.35">
      <c r="A61" s="192" t="s">
        <v>10</v>
      </c>
      <c r="B61" s="193">
        <v>45645</v>
      </c>
      <c r="C61" s="214">
        <v>2937</v>
      </c>
      <c r="D61" s="195">
        <v>25</v>
      </c>
      <c r="E61" s="215">
        <v>0</v>
      </c>
      <c r="F61" s="215">
        <v>0</v>
      </c>
      <c r="G61" s="215">
        <v>1</v>
      </c>
      <c r="H61" s="615">
        <v>2</v>
      </c>
      <c r="I61" s="643" t="s">
        <v>549</v>
      </c>
      <c r="J61" s="748">
        <v>8</v>
      </c>
      <c r="K61" s="262"/>
      <c r="L61" s="262"/>
      <c r="M61" s="262"/>
      <c r="N61" s="262"/>
    </row>
    <row r="62" spans="1:14" ht="14.5" x14ac:dyDescent="0.35">
      <c r="A62" s="192" t="s">
        <v>13</v>
      </c>
      <c r="B62" s="193">
        <v>45646</v>
      </c>
      <c r="C62" s="237">
        <v>2372</v>
      </c>
      <c r="D62" s="238">
        <v>75</v>
      </c>
      <c r="E62" s="239">
        <v>0</v>
      </c>
      <c r="F62" s="239">
        <v>0</v>
      </c>
      <c r="G62" s="215">
        <v>0</v>
      </c>
      <c r="H62" s="695">
        <v>2</v>
      </c>
      <c r="I62" s="649" t="s">
        <v>555</v>
      </c>
      <c r="J62" s="754">
        <v>14</v>
      </c>
      <c r="K62" s="262"/>
      <c r="L62" s="262"/>
      <c r="M62" s="262"/>
      <c r="N62" s="262"/>
    </row>
    <row r="63" spans="1:14" ht="14.5" x14ac:dyDescent="0.35">
      <c r="A63" s="192" t="s">
        <v>16</v>
      </c>
      <c r="B63" s="193">
        <v>45647</v>
      </c>
      <c r="C63" s="205">
        <v>1534</v>
      </c>
      <c r="D63" s="206">
        <v>0</v>
      </c>
      <c r="E63" s="207">
        <v>0</v>
      </c>
      <c r="F63" s="207">
        <v>1</v>
      </c>
      <c r="G63" s="207">
        <v>0</v>
      </c>
      <c r="H63" s="612">
        <v>1</v>
      </c>
      <c r="I63" s="642" t="s">
        <v>556</v>
      </c>
      <c r="J63" s="746">
        <v>12</v>
      </c>
      <c r="K63" s="262"/>
      <c r="L63" s="262"/>
      <c r="M63" s="262"/>
      <c r="N63" s="262"/>
    </row>
    <row r="64" spans="1:14" ht="14.5" x14ac:dyDescent="0.35">
      <c r="A64" s="192" t="s">
        <v>18</v>
      </c>
      <c r="B64" s="193">
        <v>45648</v>
      </c>
      <c r="C64" s="209"/>
      <c r="D64" s="210"/>
      <c r="E64" s="211"/>
      <c r="F64" s="211"/>
      <c r="G64" s="211"/>
      <c r="H64" s="287"/>
      <c r="I64" s="650"/>
      <c r="J64" s="747"/>
      <c r="K64" s="262"/>
      <c r="L64" s="262"/>
      <c r="M64" s="262"/>
      <c r="N64" s="262"/>
    </row>
    <row r="65" spans="1:14" ht="14.5" x14ac:dyDescent="0.35">
      <c r="A65" s="192" t="s">
        <v>20</v>
      </c>
      <c r="B65" s="193">
        <v>45649</v>
      </c>
      <c r="C65" s="233">
        <v>450</v>
      </c>
      <c r="D65" s="234">
        <v>30</v>
      </c>
      <c r="E65" s="235">
        <v>1</v>
      </c>
      <c r="F65" s="235">
        <v>0</v>
      </c>
      <c r="G65" s="467">
        <v>0</v>
      </c>
      <c r="H65" s="481">
        <v>1</v>
      </c>
      <c r="I65" s="648" t="s">
        <v>557</v>
      </c>
      <c r="J65" s="753">
        <v>13</v>
      </c>
      <c r="K65" s="262"/>
      <c r="L65" s="262"/>
      <c r="M65" s="262"/>
      <c r="N65" s="262"/>
    </row>
    <row r="66" spans="1:14" ht="14.5" x14ac:dyDescent="0.35">
      <c r="A66" s="192" t="s">
        <v>22</v>
      </c>
      <c r="B66" s="193">
        <v>45650</v>
      </c>
      <c r="C66" s="237">
        <v>1982</v>
      </c>
      <c r="D66" s="238">
        <v>70</v>
      </c>
      <c r="E66" s="239">
        <v>0</v>
      </c>
      <c r="F66" s="239">
        <v>1</v>
      </c>
      <c r="G66" s="239">
        <v>3</v>
      </c>
      <c r="H66" s="695">
        <v>2</v>
      </c>
      <c r="I66" s="649" t="s">
        <v>558</v>
      </c>
      <c r="J66" s="754">
        <v>8</v>
      </c>
      <c r="K66" s="262"/>
      <c r="L66" s="262"/>
      <c r="M66" s="262"/>
      <c r="N66" s="262"/>
    </row>
    <row r="67" spans="1:14" ht="14.5" x14ac:dyDescent="0.35">
      <c r="A67" s="192" t="s">
        <v>24</v>
      </c>
      <c r="B67" s="193">
        <v>45651</v>
      </c>
      <c r="C67" s="233"/>
      <c r="D67" s="234"/>
      <c r="E67" s="235"/>
      <c r="F67" s="235"/>
      <c r="G67" s="235"/>
      <c r="H67" s="481"/>
      <c r="I67" s="648"/>
      <c r="J67" s="753"/>
      <c r="K67" s="262"/>
      <c r="L67" s="262"/>
      <c r="M67" s="262"/>
      <c r="N67" s="262"/>
    </row>
    <row r="68" spans="1:14" ht="14.5" x14ac:dyDescent="0.35">
      <c r="A68" s="192" t="s">
        <v>10</v>
      </c>
      <c r="B68" s="193">
        <v>45652</v>
      </c>
      <c r="C68" s="209">
        <v>2097</v>
      </c>
      <c r="D68" s="210">
        <v>60</v>
      </c>
      <c r="E68" s="211">
        <v>0</v>
      </c>
      <c r="F68" s="211">
        <v>0</v>
      </c>
      <c r="G68" s="211">
        <v>0</v>
      </c>
      <c r="H68" s="287">
        <v>1</v>
      </c>
      <c r="I68" s="650" t="s">
        <v>559</v>
      </c>
      <c r="J68" s="747">
        <v>18</v>
      </c>
      <c r="K68" s="262"/>
      <c r="L68" s="262"/>
      <c r="M68" s="262"/>
      <c r="N68" s="262"/>
    </row>
    <row r="69" spans="1:14" ht="14.5" x14ac:dyDescent="0.35">
      <c r="A69" s="192" t="s">
        <v>13</v>
      </c>
      <c r="B69" s="193">
        <v>45653</v>
      </c>
      <c r="C69" s="214">
        <v>1645</v>
      </c>
      <c r="D69" s="195">
        <v>119</v>
      </c>
      <c r="E69" s="215">
        <v>0</v>
      </c>
      <c r="F69" s="215">
        <v>0</v>
      </c>
      <c r="G69" s="215">
        <v>0</v>
      </c>
      <c r="H69" s="615">
        <v>1</v>
      </c>
      <c r="I69" s="643" t="s">
        <v>560</v>
      </c>
      <c r="J69" s="748">
        <v>13</v>
      </c>
      <c r="K69" s="262"/>
      <c r="L69" s="262"/>
      <c r="M69" s="262"/>
      <c r="N69" s="262"/>
    </row>
    <row r="70" spans="1:14" ht="14.5" x14ac:dyDescent="0.35">
      <c r="A70" s="192" t="s">
        <v>16</v>
      </c>
      <c r="B70" s="193">
        <v>45654</v>
      </c>
      <c r="C70" s="212">
        <v>2500</v>
      </c>
      <c r="D70" s="213">
        <v>0</v>
      </c>
      <c r="E70" s="203">
        <v>0</v>
      </c>
      <c r="F70" s="203">
        <v>0</v>
      </c>
      <c r="G70" s="203">
        <v>0</v>
      </c>
      <c r="H70" s="611">
        <v>3</v>
      </c>
      <c r="I70" s="641" t="s">
        <v>561</v>
      </c>
      <c r="J70" s="745">
        <v>11</v>
      </c>
      <c r="K70" s="262"/>
      <c r="L70" s="262"/>
      <c r="M70" s="262"/>
      <c r="N70" s="262"/>
    </row>
    <row r="71" spans="1:14" ht="14.5" x14ac:dyDescent="0.35">
      <c r="A71" s="192" t="s">
        <v>18</v>
      </c>
      <c r="B71" s="193">
        <v>45655</v>
      </c>
      <c r="C71" s="233"/>
      <c r="D71" s="263"/>
      <c r="E71" s="215"/>
      <c r="F71" s="215"/>
      <c r="G71" s="215"/>
      <c r="H71" s="615"/>
      <c r="I71" s="643"/>
      <c r="J71" s="748"/>
      <c r="K71" s="262"/>
      <c r="L71" s="262"/>
      <c r="M71" s="262"/>
      <c r="N71" s="262"/>
    </row>
    <row r="72" spans="1:14" ht="14.5" x14ac:dyDescent="0.35">
      <c r="A72" s="192" t="s">
        <v>20</v>
      </c>
      <c r="B72" s="193">
        <v>45656</v>
      </c>
      <c r="C72" s="212">
        <v>2398</v>
      </c>
      <c r="D72" s="213">
        <v>60</v>
      </c>
      <c r="E72" s="203">
        <v>0</v>
      </c>
      <c r="F72" s="203">
        <v>1</v>
      </c>
      <c r="G72" s="203">
        <v>0</v>
      </c>
      <c r="H72" s="611">
        <v>3</v>
      </c>
      <c r="I72" s="641" t="s">
        <v>562</v>
      </c>
      <c r="J72" s="745">
        <v>14</v>
      </c>
      <c r="K72" s="262"/>
      <c r="L72" s="262"/>
      <c r="M72" s="262"/>
      <c r="N72" s="262"/>
    </row>
    <row r="73" spans="1:14" thickBot="1" x14ac:dyDescent="0.4">
      <c r="A73" s="192" t="s">
        <v>22</v>
      </c>
      <c r="B73" s="193">
        <v>45657</v>
      </c>
      <c r="C73" s="264">
        <v>1413</v>
      </c>
      <c r="D73" s="265">
        <v>25</v>
      </c>
      <c r="E73" s="266">
        <v>0</v>
      </c>
      <c r="F73" s="266">
        <v>0</v>
      </c>
      <c r="G73" s="266">
        <v>0</v>
      </c>
      <c r="H73" s="696">
        <v>0</v>
      </c>
      <c r="I73" s="689" t="s">
        <v>563</v>
      </c>
      <c r="J73" s="755">
        <v>10</v>
      </c>
      <c r="K73" s="262"/>
      <c r="L73" s="262"/>
      <c r="M73" s="262"/>
      <c r="N73" s="262"/>
    </row>
    <row r="74" spans="1:14" thickBot="1" x14ac:dyDescent="0.4">
      <c r="A74" s="257"/>
      <c r="B74" s="268"/>
      <c r="C74" s="258">
        <f t="shared" ref="C74:H74" si="1">SUM(C43:C73)</f>
        <v>46158</v>
      </c>
      <c r="D74" s="259">
        <f t="shared" si="1"/>
        <v>1409</v>
      </c>
      <c r="E74" s="260">
        <f t="shared" si="1"/>
        <v>4</v>
      </c>
      <c r="F74" s="260">
        <f t="shared" si="1"/>
        <v>8</v>
      </c>
      <c r="G74" s="260">
        <f t="shared" si="1"/>
        <v>11</v>
      </c>
      <c r="H74" s="261">
        <f t="shared" si="1"/>
        <v>39</v>
      </c>
      <c r="I74" s="261" t="s">
        <v>444</v>
      </c>
      <c r="J74" s="261"/>
      <c r="K74" s="262"/>
      <c r="L74" s="262"/>
      <c r="M74" s="262"/>
      <c r="N74" s="262"/>
    </row>
    <row r="75" spans="1:14" ht="14.5" x14ac:dyDescent="0.35">
      <c r="A75" s="262"/>
      <c r="B75" s="474"/>
      <c r="C75" s="508"/>
      <c r="D75" s="262"/>
      <c r="E75" s="475"/>
      <c r="F75" s="511"/>
      <c r="G75" s="262"/>
      <c r="H75" s="262"/>
      <c r="I75" s="262"/>
      <c r="J75" s="262"/>
      <c r="K75" s="262"/>
      <c r="L75" s="262"/>
      <c r="M75" s="262"/>
    </row>
    <row r="76" spans="1:14" ht="16.5" thickBot="1" x14ac:dyDescent="0.45">
      <c r="A76" s="262"/>
      <c r="B76" s="474"/>
      <c r="C76" s="508"/>
      <c r="D76" s="262"/>
      <c r="E76" s="508"/>
      <c r="F76" s="262"/>
      <c r="G76" s="262"/>
      <c r="H76" s="262"/>
      <c r="I76" s="262"/>
      <c r="J76" s="262"/>
      <c r="K76" s="349"/>
      <c r="L76" s="349"/>
      <c r="M76" s="262"/>
    </row>
    <row r="77" spans="1:14" ht="15.65" customHeight="1" thickBot="1" x14ac:dyDescent="0.45">
      <c r="A77" s="348"/>
      <c r="B77" s="926" t="s">
        <v>53</v>
      </c>
      <c r="C77" s="928" t="s">
        <v>0</v>
      </c>
      <c r="D77" s="298" t="s">
        <v>2</v>
      </c>
      <c r="E77" s="184" t="s">
        <v>3</v>
      </c>
      <c r="F77" s="772" t="s">
        <v>4</v>
      </c>
      <c r="G77" s="776" t="s">
        <v>514</v>
      </c>
      <c r="H77" s="774" t="s">
        <v>143</v>
      </c>
      <c r="I77" s="186" t="s">
        <v>6</v>
      </c>
      <c r="J77" s="773" t="s">
        <v>7</v>
      </c>
      <c r="M77" s="349"/>
      <c r="N77" s="349"/>
    </row>
    <row r="78" spans="1:14" ht="29" x14ac:dyDescent="0.4">
      <c r="A78" s="497"/>
      <c r="B78" s="927"/>
      <c r="C78" s="929"/>
      <c r="D78" s="299" t="s">
        <v>0</v>
      </c>
      <c r="E78" s="188" t="s">
        <v>0</v>
      </c>
      <c r="F78" s="772" t="s">
        <v>0</v>
      </c>
      <c r="G78" s="640" t="s">
        <v>515</v>
      </c>
      <c r="H78" s="664" t="s">
        <v>0</v>
      </c>
      <c r="I78" s="665" t="s">
        <v>8</v>
      </c>
      <c r="J78" s="666" t="s">
        <v>9</v>
      </c>
      <c r="K78" s="923" t="s">
        <v>12</v>
      </c>
      <c r="L78" s="923"/>
      <c r="M78" s="262"/>
      <c r="N78" s="262"/>
    </row>
    <row r="79" spans="1:14" ht="14.5" x14ac:dyDescent="0.35">
      <c r="A79" s="192" t="s">
        <v>18</v>
      </c>
      <c r="B79" s="193">
        <v>45627</v>
      </c>
      <c r="C79" s="194"/>
      <c r="D79" s="195"/>
      <c r="E79" s="286"/>
      <c r="F79" s="516"/>
      <c r="G79" s="688"/>
      <c r="H79" s="728"/>
      <c r="I79" s="725"/>
      <c r="J79" s="744"/>
      <c r="K79" s="513" t="s">
        <v>15</v>
      </c>
      <c r="L79" s="409">
        <v>54000</v>
      </c>
      <c r="M79" s="262"/>
      <c r="N79" s="262"/>
    </row>
    <row r="80" spans="1:14" ht="14.5" x14ac:dyDescent="0.35">
      <c r="A80" s="192" t="s">
        <v>20</v>
      </c>
      <c r="B80" s="193">
        <v>45628</v>
      </c>
      <c r="C80" s="212">
        <v>2538</v>
      </c>
      <c r="D80" s="213">
        <v>25</v>
      </c>
      <c r="E80" s="203">
        <v>0</v>
      </c>
      <c r="F80" s="203">
        <v>0</v>
      </c>
      <c r="G80" s="203">
        <v>0</v>
      </c>
      <c r="H80" s="611">
        <v>2</v>
      </c>
      <c r="I80" s="246" t="s">
        <v>564</v>
      </c>
      <c r="J80" s="745">
        <v>25</v>
      </c>
      <c r="K80" s="504" t="s">
        <v>17</v>
      </c>
      <c r="L80" s="411">
        <v>2400</v>
      </c>
      <c r="M80" s="262"/>
      <c r="N80" s="262"/>
    </row>
    <row r="81" spans="1:14" ht="14.5" x14ac:dyDescent="0.35">
      <c r="A81" s="192" t="s">
        <v>22</v>
      </c>
      <c r="B81" s="193">
        <v>45629</v>
      </c>
      <c r="C81" s="205">
        <v>2921</v>
      </c>
      <c r="D81" s="206">
        <v>58</v>
      </c>
      <c r="E81" s="207">
        <v>0</v>
      </c>
      <c r="F81" s="207">
        <v>1</v>
      </c>
      <c r="G81" s="207">
        <v>0</v>
      </c>
      <c r="H81" s="675">
        <v>3</v>
      </c>
      <c r="I81" s="686" t="s">
        <v>565</v>
      </c>
      <c r="J81" s="746">
        <v>18</v>
      </c>
      <c r="K81" s="515" t="s">
        <v>19</v>
      </c>
      <c r="L81" s="413">
        <v>20</v>
      </c>
      <c r="M81" s="262"/>
      <c r="N81" s="262"/>
    </row>
    <row r="82" spans="1:14" ht="14.5" x14ac:dyDescent="0.35">
      <c r="A82" s="192" t="s">
        <v>24</v>
      </c>
      <c r="B82" s="193">
        <v>45630</v>
      </c>
      <c r="C82" s="209">
        <v>1911</v>
      </c>
      <c r="D82" s="210">
        <v>0</v>
      </c>
      <c r="E82" s="211">
        <v>0</v>
      </c>
      <c r="F82" s="211">
        <v>0</v>
      </c>
      <c r="G82" s="211">
        <v>0</v>
      </c>
      <c r="H82" s="684">
        <v>1</v>
      </c>
      <c r="I82" s="698" t="s">
        <v>566</v>
      </c>
      <c r="J82" s="747">
        <v>12</v>
      </c>
      <c r="K82" s="838"/>
      <c r="L82" s="839"/>
      <c r="M82" s="262"/>
      <c r="N82" s="262"/>
    </row>
    <row r="83" spans="1:14" ht="14.5" x14ac:dyDescent="0.35">
      <c r="A83" s="192" t="s">
        <v>10</v>
      </c>
      <c r="B83" s="193">
        <v>45631</v>
      </c>
      <c r="C83" s="205">
        <v>920</v>
      </c>
      <c r="D83" s="206">
        <v>29</v>
      </c>
      <c r="E83" s="207">
        <v>1</v>
      </c>
      <c r="F83" s="207">
        <v>0</v>
      </c>
      <c r="G83" s="207">
        <v>0</v>
      </c>
      <c r="H83" s="675">
        <v>0</v>
      </c>
      <c r="I83" s="699" t="s">
        <v>567</v>
      </c>
      <c r="J83" s="746">
        <v>15</v>
      </c>
      <c r="K83" s="262"/>
      <c r="L83" s="262"/>
      <c r="M83" s="262"/>
      <c r="N83" s="262"/>
    </row>
    <row r="84" spans="1:14" ht="14.5" x14ac:dyDescent="0.35">
      <c r="A84" s="192" t="s">
        <v>13</v>
      </c>
      <c r="B84" s="193">
        <v>45632</v>
      </c>
      <c r="C84" s="212">
        <v>2431</v>
      </c>
      <c r="D84" s="213">
        <v>58</v>
      </c>
      <c r="E84" s="203">
        <v>1</v>
      </c>
      <c r="F84" s="203">
        <v>0</v>
      </c>
      <c r="G84" s="203">
        <v>0</v>
      </c>
      <c r="H84" s="676">
        <v>1</v>
      </c>
      <c r="I84" s="706" t="s">
        <v>568</v>
      </c>
      <c r="J84" s="745">
        <v>19</v>
      </c>
      <c r="K84" s="262"/>
      <c r="L84" s="262"/>
      <c r="M84" s="262"/>
      <c r="N84" s="262"/>
    </row>
    <row r="85" spans="1:14" ht="14.5" x14ac:dyDescent="0.35">
      <c r="A85" s="192" t="s">
        <v>16</v>
      </c>
      <c r="B85" s="193">
        <v>45633</v>
      </c>
      <c r="C85" s="214">
        <v>2063</v>
      </c>
      <c r="D85" s="195">
        <v>58</v>
      </c>
      <c r="E85" s="215">
        <v>1</v>
      </c>
      <c r="F85" s="215">
        <v>0</v>
      </c>
      <c r="G85" s="215">
        <v>0</v>
      </c>
      <c r="H85" s="682">
        <v>1</v>
      </c>
      <c r="I85" s="700" t="s">
        <v>569</v>
      </c>
      <c r="J85" s="748">
        <v>24</v>
      </c>
      <c r="K85" s="262"/>
      <c r="L85" s="262"/>
      <c r="M85" s="262"/>
      <c r="N85" s="262"/>
    </row>
    <row r="86" spans="1:14" ht="14.5" x14ac:dyDescent="0.35">
      <c r="A86" s="192" t="s">
        <v>18</v>
      </c>
      <c r="B86" s="193">
        <v>45634</v>
      </c>
      <c r="C86" s="217"/>
      <c r="D86" s="218"/>
      <c r="E86" s="219"/>
      <c r="F86" s="219"/>
      <c r="G86" s="219"/>
      <c r="H86" s="677"/>
      <c r="I86" s="701"/>
      <c r="J86" s="749"/>
      <c r="K86" s="262"/>
      <c r="L86" s="262"/>
      <c r="M86" s="262"/>
      <c r="N86" s="262"/>
    </row>
    <row r="87" spans="1:14" ht="14.5" x14ac:dyDescent="0.35">
      <c r="A87" s="192" t="s">
        <v>20</v>
      </c>
      <c r="B87" s="193">
        <v>45635</v>
      </c>
      <c r="C87" s="221">
        <v>2417</v>
      </c>
      <c r="D87" s="222">
        <v>0</v>
      </c>
      <c r="E87" s="223">
        <v>1</v>
      </c>
      <c r="F87" s="223">
        <v>0</v>
      </c>
      <c r="G87" s="223">
        <v>0</v>
      </c>
      <c r="H87" s="678">
        <v>2</v>
      </c>
      <c r="I87" s="702" t="s">
        <v>570</v>
      </c>
      <c r="J87" s="750">
        <v>22</v>
      </c>
      <c r="K87" s="262"/>
      <c r="L87" s="262"/>
      <c r="M87" s="262"/>
      <c r="N87" s="262"/>
    </row>
    <row r="88" spans="1:14" ht="14.5" x14ac:dyDescent="0.35">
      <c r="A88" s="192" t="s">
        <v>22</v>
      </c>
      <c r="B88" s="193">
        <v>45636</v>
      </c>
      <c r="C88" s="225">
        <v>1345</v>
      </c>
      <c r="D88" s="226">
        <v>58</v>
      </c>
      <c r="E88" s="227">
        <v>0</v>
      </c>
      <c r="F88" s="227">
        <v>1</v>
      </c>
      <c r="G88" s="227">
        <v>0</v>
      </c>
      <c r="H88" s="679">
        <v>1</v>
      </c>
      <c r="I88" s="703" t="s">
        <v>571</v>
      </c>
      <c r="J88" s="751">
        <v>8</v>
      </c>
      <c r="K88" s="262"/>
      <c r="L88" s="262"/>
      <c r="M88" s="262"/>
      <c r="N88" s="262"/>
    </row>
    <row r="89" spans="1:14" ht="14.5" x14ac:dyDescent="0.35">
      <c r="A89" s="192" t="s">
        <v>24</v>
      </c>
      <c r="B89" s="193">
        <v>45637</v>
      </c>
      <c r="C89" s="229">
        <v>553</v>
      </c>
      <c r="D89" s="230">
        <v>58</v>
      </c>
      <c r="E89" s="231">
        <v>0</v>
      </c>
      <c r="F89" s="231">
        <v>1</v>
      </c>
      <c r="G89" s="231">
        <v>1</v>
      </c>
      <c r="H89" s="680">
        <v>0</v>
      </c>
      <c r="I89" s="704" t="s">
        <v>572</v>
      </c>
      <c r="J89" s="752">
        <v>13</v>
      </c>
      <c r="K89" s="262"/>
      <c r="L89" s="262"/>
      <c r="M89" s="262"/>
      <c r="N89" s="262"/>
    </row>
    <row r="90" spans="1:14" ht="14.5" x14ac:dyDescent="0.35">
      <c r="A90" s="192" t="s">
        <v>10</v>
      </c>
      <c r="B90" s="193">
        <v>45638</v>
      </c>
      <c r="C90" s="225">
        <v>4161</v>
      </c>
      <c r="D90" s="226">
        <v>54</v>
      </c>
      <c r="E90" s="227">
        <v>1</v>
      </c>
      <c r="F90" s="227">
        <v>1</v>
      </c>
      <c r="G90" s="227">
        <v>0</v>
      </c>
      <c r="H90" s="679">
        <v>3</v>
      </c>
      <c r="I90" s="703" t="s">
        <v>573</v>
      </c>
      <c r="J90" s="751">
        <v>17</v>
      </c>
      <c r="K90" s="262"/>
      <c r="L90" s="262"/>
      <c r="M90" s="262"/>
      <c r="N90" s="262"/>
    </row>
    <row r="91" spans="1:14" ht="14.5" x14ac:dyDescent="0.35">
      <c r="A91" s="192" t="s">
        <v>13</v>
      </c>
      <c r="B91" s="193">
        <v>45639</v>
      </c>
      <c r="C91" s="233">
        <v>1836</v>
      </c>
      <c r="D91" s="234">
        <v>29</v>
      </c>
      <c r="E91" s="235">
        <v>0</v>
      </c>
      <c r="F91" s="235">
        <v>0</v>
      </c>
      <c r="G91" s="235">
        <v>0</v>
      </c>
      <c r="H91" s="681">
        <v>1</v>
      </c>
      <c r="I91" s="705" t="s">
        <v>574</v>
      </c>
      <c r="J91" s="753">
        <v>14</v>
      </c>
      <c r="K91" s="262"/>
      <c r="L91" s="262"/>
      <c r="M91" s="262"/>
      <c r="N91" s="262"/>
    </row>
    <row r="92" spans="1:14" ht="14.5" x14ac:dyDescent="0.35">
      <c r="A92" s="192" t="s">
        <v>16</v>
      </c>
      <c r="B92" s="193">
        <v>45640</v>
      </c>
      <c r="C92" s="225">
        <v>1194</v>
      </c>
      <c r="D92" s="226">
        <v>58</v>
      </c>
      <c r="E92" s="227">
        <v>1</v>
      </c>
      <c r="F92" s="227">
        <v>0</v>
      </c>
      <c r="G92" s="227">
        <v>0</v>
      </c>
      <c r="H92" s="679">
        <v>2</v>
      </c>
      <c r="I92" s="703" t="s">
        <v>575</v>
      </c>
      <c r="J92" s="751">
        <v>24</v>
      </c>
      <c r="K92" s="262"/>
      <c r="L92" s="262"/>
      <c r="M92" s="262"/>
      <c r="N92" s="262"/>
    </row>
    <row r="93" spans="1:14" ht="14.5" x14ac:dyDescent="0.35">
      <c r="A93" s="192" t="s">
        <v>18</v>
      </c>
      <c r="B93" s="193">
        <v>45641</v>
      </c>
      <c r="C93" s="233"/>
      <c r="D93" s="195"/>
      <c r="E93" s="215"/>
      <c r="F93" s="215"/>
      <c r="G93" s="215"/>
      <c r="H93" s="682"/>
      <c r="I93" s="700"/>
      <c r="J93" s="748"/>
      <c r="K93" s="262"/>
      <c r="L93" s="262"/>
      <c r="M93" s="262"/>
      <c r="N93" s="262"/>
    </row>
    <row r="94" spans="1:14" ht="14.5" x14ac:dyDescent="0.35">
      <c r="A94" s="192" t="s">
        <v>20</v>
      </c>
      <c r="B94" s="193">
        <v>45642</v>
      </c>
      <c r="C94" s="209">
        <v>6029</v>
      </c>
      <c r="D94" s="213">
        <v>145</v>
      </c>
      <c r="E94" s="203">
        <v>2</v>
      </c>
      <c r="F94" s="203">
        <v>1</v>
      </c>
      <c r="G94" s="203">
        <v>1</v>
      </c>
      <c r="H94" s="676">
        <v>1</v>
      </c>
      <c r="I94" s="706" t="s">
        <v>576</v>
      </c>
      <c r="J94" s="745">
        <v>23</v>
      </c>
      <c r="K94" s="262"/>
      <c r="L94" s="262"/>
      <c r="M94" s="262"/>
      <c r="N94" s="262"/>
    </row>
    <row r="95" spans="1:14" ht="14.5" x14ac:dyDescent="0.35">
      <c r="A95" s="192" t="s">
        <v>22</v>
      </c>
      <c r="B95" s="193">
        <v>45643</v>
      </c>
      <c r="C95" s="233">
        <v>2635</v>
      </c>
      <c r="D95" s="234">
        <v>29</v>
      </c>
      <c r="E95" s="215">
        <v>1</v>
      </c>
      <c r="F95" s="215">
        <v>2</v>
      </c>
      <c r="G95" s="235">
        <v>0</v>
      </c>
      <c r="H95" s="682">
        <v>1</v>
      </c>
      <c r="I95" s="700" t="s">
        <v>577</v>
      </c>
      <c r="J95" s="748">
        <v>11</v>
      </c>
      <c r="K95" s="262"/>
      <c r="L95" s="262"/>
      <c r="M95" s="262"/>
      <c r="N95" s="262"/>
    </row>
    <row r="96" spans="1:14" ht="14.5" x14ac:dyDescent="0.35">
      <c r="A96" s="192" t="s">
        <v>24</v>
      </c>
      <c r="B96" s="193">
        <v>45644</v>
      </c>
      <c r="C96" s="237">
        <v>1633</v>
      </c>
      <c r="D96" s="270">
        <v>108</v>
      </c>
      <c r="E96" s="239">
        <v>0</v>
      </c>
      <c r="F96" s="239">
        <v>0</v>
      </c>
      <c r="G96" s="239">
        <v>0</v>
      </c>
      <c r="H96" s="683">
        <v>0</v>
      </c>
      <c r="I96" s="707" t="s">
        <v>578</v>
      </c>
      <c r="J96" s="754">
        <v>12</v>
      </c>
      <c r="K96" s="262"/>
      <c r="L96" s="262"/>
      <c r="M96" s="262"/>
      <c r="N96" s="262"/>
    </row>
    <row r="97" spans="1:14" ht="14.5" x14ac:dyDescent="0.35">
      <c r="A97" s="192" t="s">
        <v>10</v>
      </c>
      <c r="B97" s="193">
        <v>45645</v>
      </c>
      <c r="C97" s="214">
        <v>1070</v>
      </c>
      <c r="D97" s="195">
        <v>29</v>
      </c>
      <c r="E97" s="215">
        <v>1</v>
      </c>
      <c r="F97" s="215">
        <v>0</v>
      </c>
      <c r="G97" s="215">
        <v>0</v>
      </c>
      <c r="H97" s="682">
        <v>1</v>
      </c>
      <c r="I97" s="700" t="s">
        <v>579</v>
      </c>
      <c r="J97" s="748">
        <v>12</v>
      </c>
      <c r="K97" s="262"/>
      <c r="L97" s="262"/>
      <c r="M97" s="262"/>
      <c r="N97" s="262"/>
    </row>
    <row r="98" spans="1:14" ht="14.5" x14ac:dyDescent="0.35">
      <c r="A98" s="192" t="s">
        <v>13</v>
      </c>
      <c r="B98" s="193">
        <v>45646</v>
      </c>
      <c r="C98" s="237">
        <v>2809</v>
      </c>
      <c r="D98" s="238">
        <v>29</v>
      </c>
      <c r="E98" s="239">
        <v>0</v>
      </c>
      <c r="F98" s="239">
        <v>0</v>
      </c>
      <c r="G98" s="215">
        <v>1</v>
      </c>
      <c r="H98" s="683">
        <v>1</v>
      </c>
      <c r="I98" s="707" t="s">
        <v>580</v>
      </c>
      <c r="J98" s="754">
        <v>14</v>
      </c>
      <c r="K98" s="262"/>
      <c r="L98" s="262"/>
      <c r="M98" s="262"/>
      <c r="N98" s="262"/>
    </row>
    <row r="99" spans="1:14" ht="14.5" x14ac:dyDescent="0.35">
      <c r="A99" s="192" t="s">
        <v>16</v>
      </c>
      <c r="B99" s="193">
        <v>45647</v>
      </c>
      <c r="C99" s="205">
        <v>3174</v>
      </c>
      <c r="D99" s="206">
        <v>0</v>
      </c>
      <c r="E99" s="207">
        <v>1</v>
      </c>
      <c r="F99" s="207">
        <v>0</v>
      </c>
      <c r="G99" s="207">
        <v>0</v>
      </c>
      <c r="H99" s="675">
        <v>0</v>
      </c>
      <c r="I99" s="699" t="s">
        <v>581</v>
      </c>
      <c r="J99" s="746">
        <v>14</v>
      </c>
      <c r="K99" s="262"/>
      <c r="L99" s="262"/>
      <c r="M99" s="262"/>
      <c r="N99" s="262"/>
    </row>
    <row r="100" spans="1:14" ht="14.5" x14ac:dyDescent="0.35">
      <c r="A100" s="192" t="s">
        <v>18</v>
      </c>
      <c r="B100" s="193">
        <v>45648</v>
      </c>
      <c r="C100" s="209"/>
      <c r="D100" s="210"/>
      <c r="E100" s="211"/>
      <c r="F100" s="211"/>
      <c r="G100" s="211"/>
      <c r="H100" s="684"/>
      <c r="I100" s="698"/>
      <c r="J100" s="747"/>
      <c r="K100" s="262"/>
      <c r="L100" s="262"/>
      <c r="M100" s="262"/>
      <c r="N100" s="262"/>
    </row>
    <row r="101" spans="1:14" ht="14.5" x14ac:dyDescent="0.35">
      <c r="A101" s="192" t="s">
        <v>20</v>
      </c>
      <c r="B101" s="193">
        <v>45649</v>
      </c>
      <c r="C101" s="233">
        <v>2227</v>
      </c>
      <c r="D101" s="234">
        <v>0</v>
      </c>
      <c r="E101" s="235">
        <v>0</v>
      </c>
      <c r="F101" s="235">
        <v>0</v>
      </c>
      <c r="G101" s="235">
        <v>0</v>
      </c>
      <c r="H101" s="681">
        <v>0</v>
      </c>
      <c r="I101" s="705" t="s">
        <v>582</v>
      </c>
      <c r="J101" s="753">
        <v>19</v>
      </c>
      <c r="K101" s="262"/>
      <c r="L101" s="262"/>
      <c r="M101" s="262"/>
      <c r="N101" s="262"/>
    </row>
    <row r="102" spans="1:14" ht="14.5" x14ac:dyDescent="0.35">
      <c r="A102" s="192" t="s">
        <v>22</v>
      </c>
      <c r="B102" s="193">
        <v>45650</v>
      </c>
      <c r="C102" s="237">
        <v>756</v>
      </c>
      <c r="D102" s="238">
        <v>29</v>
      </c>
      <c r="E102" s="239">
        <v>0</v>
      </c>
      <c r="F102" s="239">
        <v>0</v>
      </c>
      <c r="G102" s="239">
        <v>0</v>
      </c>
      <c r="H102" s="683">
        <v>0</v>
      </c>
      <c r="I102" s="707" t="s">
        <v>583</v>
      </c>
      <c r="J102" s="754">
        <v>5</v>
      </c>
      <c r="K102" s="262"/>
      <c r="L102" s="262"/>
      <c r="M102" s="262"/>
      <c r="N102" s="262"/>
    </row>
    <row r="103" spans="1:14" ht="14.5" x14ac:dyDescent="0.35">
      <c r="A103" s="192" t="s">
        <v>24</v>
      </c>
      <c r="B103" s="193">
        <v>45651</v>
      </c>
      <c r="C103" s="233"/>
      <c r="D103" s="234"/>
      <c r="E103" s="235"/>
      <c r="F103" s="235"/>
      <c r="G103" s="235"/>
      <c r="H103" s="681"/>
      <c r="I103" s="705"/>
      <c r="J103" s="753"/>
      <c r="K103" s="262"/>
      <c r="L103" s="262"/>
      <c r="M103" s="508"/>
      <c r="N103" s="262"/>
    </row>
    <row r="104" spans="1:14" ht="14.5" x14ac:dyDescent="0.35">
      <c r="A104" s="192" t="s">
        <v>10</v>
      </c>
      <c r="B104" s="193">
        <v>45652</v>
      </c>
      <c r="C104" s="209">
        <v>1375</v>
      </c>
      <c r="D104" s="210">
        <v>29</v>
      </c>
      <c r="E104" s="211">
        <v>0</v>
      </c>
      <c r="F104" s="211">
        <v>1</v>
      </c>
      <c r="G104" s="211">
        <v>0</v>
      </c>
      <c r="H104" s="684">
        <v>0</v>
      </c>
      <c r="I104" s="698" t="s">
        <v>584</v>
      </c>
      <c r="J104" s="747">
        <v>16</v>
      </c>
      <c r="M104" s="508"/>
      <c r="N104" s="262"/>
    </row>
    <row r="105" spans="1:14" ht="14.5" x14ac:dyDescent="0.35">
      <c r="A105" s="192" t="s">
        <v>13</v>
      </c>
      <c r="B105" s="193">
        <v>45653</v>
      </c>
      <c r="C105" s="214">
        <v>3589</v>
      </c>
      <c r="D105" s="195">
        <v>58</v>
      </c>
      <c r="E105" s="215">
        <v>0</v>
      </c>
      <c r="F105" s="215">
        <v>0</v>
      </c>
      <c r="G105" s="215">
        <v>0</v>
      </c>
      <c r="H105" s="697">
        <v>2</v>
      </c>
      <c r="I105" s="705" t="s">
        <v>585</v>
      </c>
      <c r="J105" s="756">
        <v>20</v>
      </c>
      <c r="M105" s="262"/>
      <c r="N105" s="262"/>
    </row>
    <row r="106" spans="1:14" ht="14.5" x14ac:dyDescent="0.35">
      <c r="A106" s="192" t="s">
        <v>16</v>
      </c>
      <c r="B106" s="193">
        <v>45654</v>
      </c>
      <c r="C106" s="212">
        <v>1555</v>
      </c>
      <c r="D106" s="213">
        <v>58</v>
      </c>
      <c r="E106" s="203">
        <v>0</v>
      </c>
      <c r="F106" s="203">
        <v>0</v>
      </c>
      <c r="G106" s="215">
        <v>0</v>
      </c>
      <c r="H106" s="676">
        <v>3</v>
      </c>
      <c r="I106" s="706" t="s">
        <v>586</v>
      </c>
      <c r="J106" s="745">
        <v>16</v>
      </c>
      <c r="M106" s="262"/>
      <c r="N106" s="262"/>
    </row>
    <row r="107" spans="1:14" ht="14.5" x14ac:dyDescent="0.35">
      <c r="A107" s="192" t="s">
        <v>18</v>
      </c>
      <c r="B107" s="193">
        <v>45655</v>
      </c>
      <c r="C107" s="233"/>
      <c r="D107" s="195"/>
      <c r="E107" s="615"/>
      <c r="F107" s="861"/>
      <c r="G107" s="262"/>
      <c r="H107" s="682"/>
      <c r="I107" s="700"/>
      <c r="J107" s="748"/>
      <c r="M107" s="262"/>
      <c r="N107" s="262"/>
    </row>
    <row r="108" spans="1:14" ht="14.5" x14ac:dyDescent="0.35">
      <c r="A108" s="192" t="s">
        <v>20</v>
      </c>
      <c r="B108" s="193">
        <v>45656</v>
      </c>
      <c r="C108" s="212">
        <v>3334</v>
      </c>
      <c r="D108" s="213">
        <v>116</v>
      </c>
      <c r="E108" s="203">
        <v>0</v>
      </c>
      <c r="F108" s="203">
        <v>0</v>
      </c>
      <c r="G108" s="203">
        <v>0</v>
      </c>
      <c r="H108" s="676">
        <v>5</v>
      </c>
      <c r="I108" s="706" t="s">
        <v>587</v>
      </c>
      <c r="J108" s="745">
        <v>27</v>
      </c>
      <c r="K108" s="262"/>
      <c r="L108" s="262"/>
      <c r="M108" s="262"/>
      <c r="N108" s="262"/>
    </row>
    <row r="109" spans="1:14" thickBot="1" x14ac:dyDescent="0.4">
      <c r="A109" s="192" t="s">
        <v>22</v>
      </c>
      <c r="B109" s="193">
        <v>45657</v>
      </c>
      <c r="C109" s="264">
        <v>1629</v>
      </c>
      <c r="D109" s="265">
        <v>52</v>
      </c>
      <c r="E109" s="266">
        <v>1</v>
      </c>
      <c r="F109" s="266">
        <v>0</v>
      </c>
      <c r="G109" s="266">
        <v>0</v>
      </c>
      <c r="H109" s="687">
        <v>1</v>
      </c>
      <c r="I109" s="708" t="s">
        <v>588</v>
      </c>
      <c r="J109" s="755">
        <v>6</v>
      </c>
      <c r="K109" s="262"/>
      <c r="L109" s="262"/>
      <c r="M109" s="262"/>
      <c r="N109" s="262"/>
    </row>
    <row r="110" spans="1:14" thickBot="1" x14ac:dyDescent="0.4">
      <c r="A110" s="257"/>
      <c r="B110" s="268"/>
      <c r="C110" s="258">
        <f t="shared" ref="C110:H110" si="2">SUM(C79:C109)</f>
        <v>56105</v>
      </c>
      <c r="D110" s="259">
        <f t="shared" si="2"/>
        <v>1167</v>
      </c>
      <c r="E110" s="260">
        <f t="shared" si="2"/>
        <v>12</v>
      </c>
      <c r="F110" s="260">
        <f t="shared" si="2"/>
        <v>8</v>
      </c>
      <c r="G110" s="260">
        <f t="shared" si="2"/>
        <v>3</v>
      </c>
      <c r="H110" s="261">
        <f t="shared" si="2"/>
        <v>32</v>
      </c>
      <c r="I110" s="709" t="s">
        <v>469</v>
      </c>
      <c r="J110" s="260"/>
      <c r="K110" s="262"/>
      <c r="L110" s="262"/>
      <c r="M110" s="262"/>
      <c r="N110" s="262"/>
    </row>
    <row r="111" spans="1:14" ht="16" x14ac:dyDescent="0.4">
      <c r="A111" s="262"/>
      <c r="B111" s="474"/>
      <c r="C111" s="508"/>
      <c r="D111" s="475"/>
      <c r="E111" s="511"/>
      <c r="F111" s="262"/>
      <c r="G111" s="262"/>
      <c r="H111" s="262"/>
      <c r="I111" s="262"/>
      <c r="J111" s="262"/>
      <c r="K111" s="349"/>
      <c r="L111" s="349"/>
      <c r="M111" s="262"/>
    </row>
    <row r="112" spans="1:14" ht="14.5" x14ac:dyDescent="0.35">
      <c r="A112" s="262"/>
      <c r="B112" s="474"/>
      <c r="C112" s="508"/>
      <c r="D112" s="475"/>
      <c r="E112" s="511"/>
      <c r="F112" s="262"/>
      <c r="G112" s="262"/>
      <c r="H112" s="262"/>
      <c r="I112" s="262"/>
      <c r="J112" s="262"/>
      <c r="M112" s="262"/>
    </row>
    <row r="113" spans="1:13" ht="16" x14ac:dyDescent="0.4">
      <c r="A113" s="262"/>
      <c r="B113" s="474"/>
      <c r="C113" s="508"/>
      <c r="D113" s="475"/>
      <c r="E113" s="511"/>
      <c r="F113" s="262"/>
      <c r="G113" s="262"/>
      <c r="H113" s="262"/>
      <c r="I113" s="349"/>
      <c r="J113" s="349"/>
      <c r="M113" s="262"/>
    </row>
    <row r="114" spans="1:13" ht="25" customHeight="1" thickBot="1" x14ac:dyDescent="0.4">
      <c r="A114" s="262"/>
      <c r="B114" s="474"/>
      <c r="C114" s="508"/>
      <c r="D114" s="475"/>
      <c r="E114" s="511"/>
      <c r="F114" s="262"/>
      <c r="G114" s="262"/>
      <c r="H114" s="262"/>
      <c r="I114" s="262"/>
      <c r="J114" s="262"/>
      <c r="M114" s="262"/>
    </row>
    <row r="115" spans="1:13" ht="16" customHeight="1" thickBot="1" x14ac:dyDescent="0.45">
      <c r="A115" s="2"/>
      <c r="B115" s="926" t="s">
        <v>70</v>
      </c>
      <c r="C115" s="928" t="s">
        <v>0</v>
      </c>
      <c r="D115" s="298" t="s">
        <v>2</v>
      </c>
      <c r="E115" s="771" t="s">
        <v>3</v>
      </c>
      <c r="F115" s="772" t="s">
        <v>4</v>
      </c>
      <c r="G115" s="776" t="s">
        <v>514</v>
      </c>
      <c r="H115" s="774" t="s">
        <v>143</v>
      </c>
      <c r="I115" s="186" t="s">
        <v>6</v>
      </c>
      <c r="J115" s="773" t="s">
        <v>7</v>
      </c>
      <c r="M115" s="262"/>
    </row>
    <row r="116" spans="1:13" ht="29.15" customHeight="1" x14ac:dyDescent="0.4">
      <c r="A116" s="8"/>
      <c r="B116" s="927"/>
      <c r="C116" s="929"/>
      <c r="D116" s="299" t="s">
        <v>0</v>
      </c>
      <c r="E116" s="498" t="s">
        <v>0</v>
      </c>
      <c r="F116" s="772" t="s">
        <v>0</v>
      </c>
      <c r="G116" s="640" t="s">
        <v>515</v>
      </c>
      <c r="H116" s="664" t="s">
        <v>0</v>
      </c>
      <c r="I116" s="710" t="s">
        <v>8</v>
      </c>
      <c r="J116" s="711" t="s">
        <v>9</v>
      </c>
      <c r="K116" s="517"/>
      <c r="L116" s="473"/>
      <c r="M116" s="262"/>
    </row>
    <row r="117" spans="1:13" ht="14.5" x14ac:dyDescent="0.35">
      <c r="A117" s="192" t="s">
        <v>18</v>
      </c>
      <c r="B117" s="193">
        <v>45627</v>
      </c>
      <c r="C117" s="194"/>
      <c r="D117" s="195"/>
      <c r="E117" s="196"/>
      <c r="F117" s="286"/>
      <c r="G117" s="688"/>
      <c r="H117" s="727"/>
      <c r="I117" s="724"/>
      <c r="J117" s="744"/>
      <c r="K117" s="923" t="s">
        <v>12</v>
      </c>
      <c r="L117" s="923"/>
      <c r="M117" s="262"/>
    </row>
    <row r="118" spans="1:13" ht="14.5" x14ac:dyDescent="0.35">
      <c r="A118" s="192" t="s">
        <v>20</v>
      </c>
      <c r="B118" s="193">
        <v>45628</v>
      </c>
      <c r="C118" s="212">
        <v>1983</v>
      </c>
      <c r="D118" s="213">
        <v>0</v>
      </c>
      <c r="E118" s="203">
        <v>3</v>
      </c>
      <c r="F118" s="203">
        <v>0</v>
      </c>
      <c r="G118" s="203">
        <v>0</v>
      </c>
      <c r="H118" s="611">
        <v>5</v>
      </c>
      <c r="I118" s="246" t="s">
        <v>589</v>
      </c>
      <c r="J118" s="745">
        <v>14</v>
      </c>
      <c r="K118" s="513" t="s">
        <v>15</v>
      </c>
      <c r="L118" s="409">
        <v>36000</v>
      </c>
      <c r="M118" s="262"/>
    </row>
    <row r="119" spans="1:13" ht="14.5" x14ac:dyDescent="0.35">
      <c r="A119" s="192" t="s">
        <v>22</v>
      </c>
      <c r="B119" s="193">
        <v>45629</v>
      </c>
      <c r="C119" s="205">
        <v>1799</v>
      </c>
      <c r="D119" s="206">
        <v>90</v>
      </c>
      <c r="E119" s="207">
        <v>2</v>
      </c>
      <c r="F119" s="207">
        <v>0</v>
      </c>
      <c r="G119" s="207">
        <v>0</v>
      </c>
      <c r="H119" s="612">
        <v>4</v>
      </c>
      <c r="I119" s="619" t="s">
        <v>494</v>
      </c>
      <c r="J119" s="746">
        <v>10</v>
      </c>
      <c r="K119" s="504" t="s">
        <v>17</v>
      </c>
      <c r="L119" s="411">
        <v>1200</v>
      </c>
      <c r="M119" s="262"/>
    </row>
    <row r="120" spans="1:13" ht="14.5" x14ac:dyDescent="0.35">
      <c r="A120" s="192" t="s">
        <v>24</v>
      </c>
      <c r="B120" s="193">
        <v>45630</v>
      </c>
      <c r="C120" s="209">
        <v>597</v>
      </c>
      <c r="D120" s="210">
        <v>25</v>
      </c>
      <c r="E120" s="211">
        <v>0</v>
      </c>
      <c r="F120" s="211">
        <v>0</v>
      </c>
      <c r="G120" s="211">
        <v>1</v>
      </c>
      <c r="H120" s="287">
        <v>2</v>
      </c>
      <c r="I120" s="650" t="s">
        <v>590</v>
      </c>
      <c r="J120" s="747">
        <v>8</v>
      </c>
      <c r="K120" s="515" t="s">
        <v>19</v>
      </c>
      <c r="L120" s="413">
        <v>8</v>
      </c>
      <c r="M120" s="262"/>
    </row>
    <row r="121" spans="1:13" ht="14.5" x14ac:dyDescent="0.35">
      <c r="A121" s="192" t="s">
        <v>10</v>
      </c>
      <c r="B121" s="193">
        <v>45631</v>
      </c>
      <c r="C121" s="205">
        <v>701</v>
      </c>
      <c r="D121" s="206">
        <v>0</v>
      </c>
      <c r="E121" s="207">
        <v>0</v>
      </c>
      <c r="F121" s="207">
        <v>0</v>
      </c>
      <c r="G121" s="207">
        <v>0</v>
      </c>
      <c r="H121" s="612">
        <v>1</v>
      </c>
      <c r="I121" s="642" t="s">
        <v>175</v>
      </c>
      <c r="J121" s="746">
        <v>6</v>
      </c>
      <c r="K121" s="838"/>
      <c r="L121" s="839"/>
      <c r="M121" s="262"/>
    </row>
    <row r="122" spans="1:13" ht="14.5" x14ac:dyDescent="0.35">
      <c r="A122" s="192" t="s">
        <v>13</v>
      </c>
      <c r="B122" s="193">
        <v>45632</v>
      </c>
      <c r="C122" s="212">
        <v>1889</v>
      </c>
      <c r="D122" s="213">
        <v>0</v>
      </c>
      <c r="E122" s="203">
        <v>0</v>
      </c>
      <c r="F122" s="203">
        <v>1</v>
      </c>
      <c r="G122" s="203">
        <v>0</v>
      </c>
      <c r="H122" s="611">
        <v>2</v>
      </c>
      <c r="I122" s="641" t="s">
        <v>591</v>
      </c>
      <c r="J122" s="745">
        <v>9</v>
      </c>
      <c r="K122" s="517"/>
      <c r="L122" s="473"/>
      <c r="M122" s="262"/>
    </row>
    <row r="123" spans="1:13" ht="14.5" x14ac:dyDescent="0.35">
      <c r="A123" s="192" t="s">
        <v>16</v>
      </c>
      <c r="B123" s="193">
        <v>45633</v>
      </c>
      <c r="C123" s="214">
        <v>1151</v>
      </c>
      <c r="D123" s="195">
        <v>75</v>
      </c>
      <c r="E123" s="215">
        <v>0</v>
      </c>
      <c r="F123" s="215">
        <v>0</v>
      </c>
      <c r="G123" s="215">
        <v>0</v>
      </c>
      <c r="H123" s="615">
        <v>1</v>
      </c>
      <c r="I123" s="643" t="s">
        <v>408</v>
      </c>
      <c r="J123" s="748">
        <v>9</v>
      </c>
      <c r="K123" s="517"/>
      <c r="L123" s="473"/>
      <c r="M123" s="262"/>
    </row>
    <row r="124" spans="1:13" ht="14.5" x14ac:dyDescent="0.35">
      <c r="A124" s="192" t="s">
        <v>18</v>
      </c>
      <c r="B124" s="193">
        <v>45634</v>
      </c>
      <c r="C124" s="217"/>
      <c r="D124" s="218"/>
      <c r="E124" s="219"/>
      <c r="F124" s="219"/>
      <c r="G124" s="219"/>
      <c r="H124" s="691"/>
      <c r="I124" s="644"/>
      <c r="J124" s="749"/>
      <c r="K124" s="517"/>
      <c r="L124" s="473"/>
      <c r="M124" s="262"/>
    </row>
    <row r="125" spans="1:13" ht="14.5" x14ac:dyDescent="0.35">
      <c r="A125" s="192" t="s">
        <v>20</v>
      </c>
      <c r="B125" s="193">
        <v>45635</v>
      </c>
      <c r="C125" s="221">
        <v>1766</v>
      </c>
      <c r="D125" s="222">
        <v>30</v>
      </c>
      <c r="E125" s="223">
        <v>0</v>
      </c>
      <c r="F125" s="223">
        <v>0</v>
      </c>
      <c r="G125" s="223">
        <v>0</v>
      </c>
      <c r="H125" s="692">
        <v>3</v>
      </c>
      <c r="I125" s="645" t="s">
        <v>408</v>
      </c>
      <c r="J125" s="750">
        <v>7</v>
      </c>
      <c r="K125" s="517"/>
      <c r="L125" s="473"/>
      <c r="M125" s="262"/>
    </row>
    <row r="126" spans="1:13" ht="14.5" x14ac:dyDescent="0.35">
      <c r="A126" s="192" t="s">
        <v>22</v>
      </c>
      <c r="B126" s="193">
        <v>45636</v>
      </c>
      <c r="C126" s="225">
        <v>484</v>
      </c>
      <c r="D126" s="226">
        <v>140</v>
      </c>
      <c r="E126" s="227">
        <v>0</v>
      </c>
      <c r="F126" s="227">
        <v>0</v>
      </c>
      <c r="G126" s="227">
        <v>0</v>
      </c>
      <c r="H126" s="693">
        <v>1</v>
      </c>
      <c r="I126" s="646" t="s">
        <v>592</v>
      </c>
      <c r="J126" s="751">
        <v>9</v>
      </c>
      <c r="K126" s="517"/>
      <c r="L126" s="473"/>
      <c r="M126" s="262"/>
    </row>
    <row r="127" spans="1:13" ht="14.5" x14ac:dyDescent="0.35">
      <c r="A127" s="192" t="s">
        <v>24</v>
      </c>
      <c r="B127" s="193">
        <v>45637</v>
      </c>
      <c r="C127" s="229">
        <v>547</v>
      </c>
      <c r="D127" s="230">
        <v>0</v>
      </c>
      <c r="E127" s="231">
        <v>0</v>
      </c>
      <c r="F127" s="231">
        <v>0</v>
      </c>
      <c r="G127" s="231">
        <v>1</v>
      </c>
      <c r="H127" s="694">
        <v>0</v>
      </c>
      <c r="I127" s="647" t="s">
        <v>593</v>
      </c>
      <c r="J127" s="752">
        <v>5</v>
      </c>
      <c r="K127" s="517"/>
      <c r="L127" s="473"/>
      <c r="M127" s="262"/>
    </row>
    <row r="128" spans="1:13" ht="14.5" x14ac:dyDescent="0.35">
      <c r="A128" s="192" t="s">
        <v>10</v>
      </c>
      <c r="B128" s="193">
        <v>45638</v>
      </c>
      <c r="C128" s="225">
        <v>1998</v>
      </c>
      <c r="D128" s="226">
        <v>25</v>
      </c>
      <c r="E128" s="227">
        <v>0</v>
      </c>
      <c r="F128" s="227">
        <v>0</v>
      </c>
      <c r="G128" s="227">
        <v>0</v>
      </c>
      <c r="H128" s="693">
        <v>0</v>
      </c>
      <c r="I128" s="646" t="s">
        <v>594</v>
      </c>
      <c r="J128" s="751">
        <v>5</v>
      </c>
      <c r="K128" s="262"/>
      <c r="L128" s="262"/>
      <c r="M128" s="262"/>
    </row>
    <row r="129" spans="1:13" ht="14.5" x14ac:dyDescent="0.35">
      <c r="A129" s="192" t="s">
        <v>13</v>
      </c>
      <c r="B129" s="193">
        <v>45639</v>
      </c>
      <c r="C129" s="233">
        <v>1156</v>
      </c>
      <c r="D129" s="234">
        <v>25</v>
      </c>
      <c r="E129" s="235">
        <v>0</v>
      </c>
      <c r="F129" s="235">
        <v>0</v>
      </c>
      <c r="G129" s="235">
        <v>0</v>
      </c>
      <c r="H129" s="481">
        <v>0</v>
      </c>
      <c r="I129" s="648" t="s">
        <v>595</v>
      </c>
      <c r="J129" s="753">
        <v>8</v>
      </c>
      <c r="K129" s="262"/>
      <c r="L129" s="262"/>
      <c r="M129" s="262"/>
    </row>
    <row r="130" spans="1:13" ht="14.5" x14ac:dyDescent="0.35">
      <c r="A130" s="192" t="s">
        <v>16</v>
      </c>
      <c r="B130" s="193">
        <v>45640</v>
      </c>
      <c r="C130" s="225">
        <v>465</v>
      </c>
      <c r="D130" s="226">
        <v>0</v>
      </c>
      <c r="E130" s="227">
        <v>0</v>
      </c>
      <c r="F130" s="227">
        <v>0</v>
      </c>
      <c r="G130" s="227">
        <v>1</v>
      </c>
      <c r="H130" s="693">
        <v>0</v>
      </c>
      <c r="I130" s="646" t="s">
        <v>596</v>
      </c>
      <c r="J130" s="751">
        <v>9</v>
      </c>
      <c r="K130" s="262"/>
      <c r="L130" s="262"/>
      <c r="M130" s="262"/>
    </row>
    <row r="131" spans="1:13" ht="14.5" x14ac:dyDescent="0.35">
      <c r="A131" s="192" t="s">
        <v>18</v>
      </c>
      <c r="B131" s="193">
        <v>45641</v>
      </c>
      <c r="C131" s="233"/>
      <c r="D131" s="195"/>
      <c r="E131" s="215"/>
      <c r="F131" s="215"/>
      <c r="G131" s="215"/>
      <c r="H131" s="615"/>
      <c r="I131" s="643"/>
      <c r="J131" s="748"/>
      <c r="K131" s="262"/>
      <c r="L131" s="262"/>
      <c r="M131" s="262"/>
    </row>
    <row r="132" spans="1:13" ht="14.5" x14ac:dyDescent="0.35">
      <c r="A132" s="192" t="s">
        <v>20</v>
      </c>
      <c r="B132" s="193">
        <v>45642</v>
      </c>
      <c r="C132" s="209">
        <v>2605</v>
      </c>
      <c r="D132" s="213">
        <v>99</v>
      </c>
      <c r="E132" s="203">
        <v>1</v>
      </c>
      <c r="F132" s="203">
        <v>0</v>
      </c>
      <c r="G132" s="203">
        <v>0</v>
      </c>
      <c r="H132" s="611">
        <v>2</v>
      </c>
      <c r="I132" s="641" t="s">
        <v>597</v>
      </c>
      <c r="J132" s="745">
        <v>17</v>
      </c>
      <c r="K132" s="262"/>
      <c r="L132" s="262"/>
      <c r="M132" s="262"/>
    </row>
    <row r="133" spans="1:13" ht="14.5" x14ac:dyDescent="0.35">
      <c r="A133" s="192" t="s">
        <v>22</v>
      </c>
      <c r="B133" s="193">
        <v>45643</v>
      </c>
      <c r="C133" s="233">
        <v>899</v>
      </c>
      <c r="D133" s="234">
        <v>0</v>
      </c>
      <c r="E133" s="215">
        <v>0</v>
      </c>
      <c r="F133" s="215">
        <v>0</v>
      </c>
      <c r="G133" s="235">
        <v>0</v>
      </c>
      <c r="H133" s="615">
        <v>0</v>
      </c>
      <c r="I133" s="643" t="s">
        <v>598</v>
      </c>
      <c r="J133" s="748">
        <v>4</v>
      </c>
      <c r="K133" s="262"/>
      <c r="L133" s="262"/>
      <c r="M133" s="262"/>
    </row>
    <row r="134" spans="1:13" ht="14.5" x14ac:dyDescent="0.35">
      <c r="A134" s="192" t="s">
        <v>24</v>
      </c>
      <c r="B134" s="193">
        <v>45644</v>
      </c>
      <c r="C134" s="237">
        <v>2047</v>
      </c>
      <c r="D134" s="270">
        <v>0</v>
      </c>
      <c r="E134" s="239">
        <v>0</v>
      </c>
      <c r="F134" s="239">
        <v>0</v>
      </c>
      <c r="G134" s="239">
        <v>0</v>
      </c>
      <c r="H134" s="695">
        <v>0</v>
      </c>
      <c r="I134" s="649" t="s">
        <v>399</v>
      </c>
      <c r="J134" s="754">
        <v>11</v>
      </c>
      <c r="K134" s="262"/>
      <c r="L134" s="262"/>
      <c r="M134" s="262"/>
    </row>
    <row r="135" spans="1:13" ht="14.5" x14ac:dyDescent="0.35">
      <c r="A135" s="192" t="s">
        <v>10</v>
      </c>
      <c r="B135" s="193">
        <v>45645</v>
      </c>
      <c r="C135" s="214">
        <v>888</v>
      </c>
      <c r="D135" s="195">
        <v>0</v>
      </c>
      <c r="E135" s="215">
        <v>0</v>
      </c>
      <c r="F135" s="215">
        <v>0</v>
      </c>
      <c r="G135" s="215">
        <v>0</v>
      </c>
      <c r="H135" s="615">
        <v>0</v>
      </c>
      <c r="I135" s="643" t="s">
        <v>399</v>
      </c>
      <c r="J135" s="748">
        <v>3</v>
      </c>
      <c r="K135" s="262"/>
      <c r="L135" s="262"/>
      <c r="M135" s="262"/>
    </row>
    <row r="136" spans="1:13" ht="14.5" x14ac:dyDescent="0.35">
      <c r="A136" s="192" t="s">
        <v>13</v>
      </c>
      <c r="B136" s="193">
        <v>45646</v>
      </c>
      <c r="C136" s="237">
        <v>1714</v>
      </c>
      <c r="D136" s="238">
        <v>25</v>
      </c>
      <c r="E136" s="239">
        <v>0</v>
      </c>
      <c r="F136" s="239">
        <v>0</v>
      </c>
      <c r="G136" s="239">
        <v>0</v>
      </c>
      <c r="H136" s="695">
        <v>0</v>
      </c>
      <c r="I136" s="649" t="s">
        <v>599</v>
      </c>
      <c r="J136" s="754">
        <v>13</v>
      </c>
      <c r="K136" s="262"/>
      <c r="L136" s="262"/>
      <c r="M136" s="262"/>
    </row>
    <row r="137" spans="1:13" ht="14.5" x14ac:dyDescent="0.35">
      <c r="A137" s="192" t="s">
        <v>16</v>
      </c>
      <c r="B137" s="193">
        <v>45647</v>
      </c>
      <c r="C137" s="205">
        <v>2416</v>
      </c>
      <c r="D137" s="206">
        <v>0</v>
      </c>
      <c r="E137" s="207">
        <v>0</v>
      </c>
      <c r="F137" s="207">
        <v>0</v>
      </c>
      <c r="G137" s="207">
        <v>0</v>
      </c>
      <c r="H137" s="612">
        <v>0</v>
      </c>
      <c r="I137" s="642" t="s">
        <v>407</v>
      </c>
      <c r="J137" s="746">
        <v>12</v>
      </c>
      <c r="K137" s="262"/>
      <c r="L137" s="262"/>
      <c r="M137" s="262"/>
    </row>
    <row r="138" spans="1:13" ht="14.5" x14ac:dyDescent="0.35">
      <c r="A138" s="192" t="s">
        <v>18</v>
      </c>
      <c r="B138" s="193">
        <v>45648</v>
      </c>
      <c r="C138" s="209"/>
      <c r="D138" s="210"/>
      <c r="E138" s="211"/>
      <c r="F138" s="211"/>
      <c r="G138" s="211"/>
      <c r="H138" s="287"/>
      <c r="I138" s="650"/>
      <c r="J138" s="747"/>
      <c r="K138" s="262"/>
      <c r="L138" s="262"/>
      <c r="M138" s="262"/>
    </row>
    <row r="139" spans="1:13" ht="14.5" x14ac:dyDescent="0.35">
      <c r="A139" s="192" t="s">
        <v>20</v>
      </c>
      <c r="B139" s="193">
        <v>45649</v>
      </c>
      <c r="C139" s="233">
        <v>1418</v>
      </c>
      <c r="D139" s="234">
        <v>30</v>
      </c>
      <c r="E139" s="235">
        <v>2</v>
      </c>
      <c r="F139" s="235">
        <v>0</v>
      </c>
      <c r="G139" s="235">
        <v>0</v>
      </c>
      <c r="H139" s="481">
        <v>0</v>
      </c>
      <c r="I139" s="648" t="s">
        <v>589</v>
      </c>
      <c r="J139" s="753">
        <v>6</v>
      </c>
      <c r="K139" s="262"/>
      <c r="L139" s="262"/>
      <c r="M139" s="262"/>
    </row>
    <row r="140" spans="1:13" ht="14.5" x14ac:dyDescent="0.35">
      <c r="A140" s="192" t="s">
        <v>22</v>
      </c>
      <c r="B140" s="193">
        <v>45650</v>
      </c>
      <c r="C140" s="237">
        <v>1534</v>
      </c>
      <c r="D140" s="238">
        <v>0</v>
      </c>
      <c r="E140" s="239">
        <v>1</v>
      </c>
      <c r="F140" s="239">
        <v>0</v>
      </c>
      <c r="G140" s="239">
        <v>0</v>
      </c>
      <c r="H140" s="695">
        <v>4</v>
      </c>
      <c r="I140" s="649" t="s">
        <v>600</v>
      </c>
      <c r="J140" s="754">
        <v>11</v>
      </c>
      <c r="K140" s="262"/>
      <c r="L140" s="262"/>
      <c r="M140" s="262"/>
    </row>
    <row r="141" spans="1:13" ht="14.5" x14ac:dyDescent="0.35">
      <c r="A141" s="192" t="s">
        <v>24</v>
      </c>
      <c r="B141" s="193">
        <v>45651</v>
      </c>
      <c r="C141" s="233"/>
      <c r="D141" s="234"/>
      <c r="E141" s="235"/>
      <c r="F141" s="235"/>
      <c r="G141" s="235"/>
      <c r="H141" s="481"/>
      <c r="I141" s="648"/>
      <c r="J141" s="753"/>
      <c r="K141" s="262"/>
      <c r="L141" s="262"/>
      <c r="M141" s="262"/>
    </row>
    <row r="142" spans="1:13" ht="14.5" x14ac:dyDescent="0.35">
      <c r="A142" s="192" t="s">
        <v>10</v>
      </c>
      <c r="B142" s="193">
        <v>45652</v>
      </c>
      <c r="C142" s="209">
        <v>621</v>
      </c>
      <c r="D142" s="210">
        <v>30</v>
      </c>
      <c r="E142" s="211">
        <v>0</v>
      </c>
      <c r="F142" s="211">
        <v>1</v>
      </c>
      <c r="G142" s="211">
        <v>0</v>
      </c>
      <c r="H142" s="287">
        <v>0</v>
      </c>
      <c r="I142" s="650" t="s">
        <v>601</v>
      </c>
      <c r="J142" s="747">
        <v>10</v>
      </c>
      <c r="K142" s="262"/>
      <c r="L142" s="262"/>
      <c r="M142" s="262"/>
    </row>
    <row r="143" spans="1:13" ht="14.5" x14ac:dyDescent="0.35">
      <c r="A143" s="192" t="s">
        <v>13</v>
      </c>
      <c r="B143" s="193">
        <v>45653</v>
      </c>
      <c r="C143" s="214">
        <v>1470</v>
      </c>
      <c r="D143" s="195">
        <v>0</v>
      </c>
      <c r="E143" s="215">
        <v>1</v>
      </c>
      <c r="F143" s="215">
        <v>0</v>
      </c>
      <c r="G143" s="215">
        <v>0</v>
      </c>
      <c r="H143" s="262">
        <v>2</v>
      </c>
      <c r="I143" s="648" t="s">
        <v>602</v>
      </c>
      <c r="J143" s="756">
        <v>10</v>
      </c>
      <c r="K143" s="262"/>
      <c r="L143" s="262"/>
      <c r="M143" s="262"/>
    </row>
    <row r="144" spans="1:13" ht="14.5" x14ac:dyDescent="0.35">
      <c r="A144" s="192" t="s">
        <v>16</v>
      </c>
      <c r="B144" s="193">
        <v>45654</v>
      </c>
      <c r="C144" s="212">
        <v>3072</v>
      </c>
      <c r="D144" s="213">
        <v>30</v>
      </c>
      <c r="E144" s="203">
        <v>2</v>
      </c>
      <c r="F144" s="203">
        <v>0</v>
      </c>
      <c r="G144" s="215">
        <v>0</v>
      </c>
      <c r="H144" s="611">
        <v>2</v>
      </c>
      <c r="I144" s="641" t="s">
        <v>603</v>
      </c>
      <c r="J144" s="745">
        <v>9</v>
      </c>
      <c r="K144" s="262"/>
      <c r="L144" s="262"/>
      <c r="M144" s="262"/>
    </row>
    <row r="145" spans="1:13" ht="14.5" x14ac:dyDescent="0.35">
      <c r="A145" s="192" t="s">
        <v>18</v>
      </c>
      <c r="B145" s="193">
        <v>45655</v>
      </c>
      <c r="C145" s="233"/>
      <c r="D145" s="195"/>
      <c r="E145" s="215"/>
      <c r="F145" s="247"/>
      <c r="G145" s="262"/>
      <c r="H145" s="615"/>
      <c r="I145" s="643"/>
      <c r="J145" s="748"/>
      <c r="K145" s="262"/>
      <c r="L145" s="262"/>
      <c r="M145" s="262"/>
    </row>
    <row r="146" spans="1:13" ht="14.5" x14ac:dyDescent="0.35">
      <c r="A146" s="192" t="s">
        <v>20</v>
      </c>
      <c r="B146" s="193">
        <v>45656</v>
      </c>
      <c r="C146" s="212">
        <v>1528</v>
      </c>
      <c r="D146" s="213">
        <v>0</v>
      </c>
      <c r="E146" s="203">
        <v>1</v>
      </c>
      <c r="F146" s="203">
        <v>0</v>
      </c>
      <c r="G146" s="203">
        <v>0</v>
      </c>
      <c r="H146" s="611">
        <v>1</v>
      </c>
      <c r="I146" s="641" t="s">
        <v>590</v>
      </c>
      <c r="J146" s="745">
        <v>8</v>
      </c>
      <c r="K146" s="262"/>
      <c r="L146" s="262"/>
      <c r="M146" s="262"/>
    </row>
    <row r="147" spans="1:13" thickBot="1" x14ac:dyDescent="0.4">
      <c r="A147" s="192" t="s">
        <v>22</v>
      </c>
      <c r="B147" s="193">
        <v>45657</v>
      </c>
      <c r="C147" s="264">
        <v>147</v>
      </c>
      <c r="D147" s="265">
        <v>30</v>
      </c>
      <c r="E147" s="266">
        <v>0</v>
      </c>
      <c r="F147" s="266">
        <v>0</v>
      </c>
      <c r="G147" s="266">
        <v>0</v>
      </c>
      <c r="H147" s="696">
        <v>0</v>
      </c>
      <c r="I147" s="712" t="s">
        <v>590</v>
      </c>
      <c r="J147" s="755">
        <v>2</v>
      </c>
      <c r="K147" s="262"/>
      <c r="L147" s="262"/>
      <c r="M147" s="262"/>
    </row>
    <row r="148" spans="1:13" thickBot="1" x14ac:dyDescent="0.4">
      <c r="A148" s="257"/>
      <c r="B148" s="268"/>
      <c r="C148" s="258">
        <f t="shared" ref="C148:H148" si="3">SUM(C117:C147)</f>
        <v>34895</v>
      </c>
      <c r="D148" s="259">
        <f t="shared" si="3"/>
        <v>654</v>
      </c>
      <c r="E148" s="260">
        <f t="shared" si="3"/>
        <v>13</v>
      </c>
      <c r="F148" s="260">
        <f t="shared" si="3"/>
        <v>2</v>
      </c>
      <c r="G148" s="260">
        <f t="shared" si="3"/>
        <v>3</v>
      </c>
      <c r="H148" s="260">
        <f t="shared" si="3"/>
        <v>30</v>
      </c>
      <c r="I148" s="261" t="s">
        <v>494</v>
      </c>
      <c r="J148" s="261"/>
      <c r="K148" s="262"/>
      <c r="L148" s="262"/>
      <c r="M148" s="262"/>
    </row>
    <row r="149" spans="1:13" ht="14.5" x14ac:dyDescent="0.35">
      <c r="A149" s="262"/>
      <c r="B149" s="474"/>
      <c r="C149" s="475"/>
      <c r="D149" s="475"/>
      <c r="E149" s="476"/>
      <c r="F149" s="476"/>
      <c r="G149" s="477"/>
      <c r="H149" s="477"/>
      <c r="I149" s="262"/>
      <c r="J149" s="262"/>
      <c r="K149" s="262"/>
      <c r="L149" s="262"/>
      <c r="M149" s="262"/>
    </row>
    <row r="150" spans="1:13" ht="14.5" x14ac:dyDescent="0.35">
      <c r="A150" s="262"/>
      <c r="B150" s="474"/>
      <c r="C150" s="475"/>
      <c r="D150" s="475"/>
      <c r="E150" s="477"/>
      <c r="F150" s="477"/>
      <c r="G150" s="477"/>
      <c r="H150" s="477"/>
      <c r="I150" s="262"/>
      <c r="J150" s="262"/>
      <c r="K150" s="262"/>
      <c r="L150" s="262"/>
      <c r="M150" s="262"/>
    </row>
    <row r="151" spans="1:13" thickBot="1" x14ac:dyDescent="0.4">
      <c r="A151" s="262"/>
      <c r="B151" s="474"/>
      <c r="C151" s="475"/>
      <c r="D151" s="475"/>
      <c r="E151" s="477"/>
      <c r="F151" s="862"/>
      <c r="G151" s="477"/>
      <c r="H151" s="477"/>
      <c r="I151" s="262"/>
      <c r="J151" s="262"/>
      <c r="K151" s="262"/>
      <c r="L151" s="262"/>
      <c r="M151" s="262"/>
    </row>
    <row r="152" spans="1:13" thickBot="1" x14ac:dyDescent="0.4">
      <c r="A152" s="924" t="s">
        <v>85</v>
      </c>
      <c r="B152" s="924"/>
      <c r="C152" s="919" t="s">
        <v>1</v>
      </c>
      <c r="D152" s="919"/>
      <c r="E152" s="919"/>
      <c r="F152" s="262"/>
      <c r="G152" s="727"/>
      <c r="H152" s="262"/>
      <c r="I152" s="262"/>
      <c r="J152" s="262"/>
      <c r="K152" s="262"/>
      <c r="L152" s="262"/>
      <c r="M152" s="262"/>
    </row>
    <row r="153" spans="1:13" thickBot="1" x14ac:dyDescent="0.4">
      <c r="A153" s="924"/>
      <c r="B153" s="924"/>
      <c r="C153" s="933"/>
      <c r="D153" s="933"/>
      <c r="E153" s="933"/>
      <c r="F153" s="262"/>
      <c r="G153" s="262"/>
      <c r="H153" s="262"/>
      <c r="I153" s="262"/>
      <c r="J153" s="262"/>
      <c r="K153" s="262"/>
      <c r="L153" s="262"/>
      <c r="M153" s="262"/>
    </row>
    <row r="154" spans="1:13" ht="14.5" customHeight="1" thickBot="1" x14ac:dyDescent="0.45">
      <c r="A154" s="924"/>
      <c r="B154" s="924"/>
      <c r="C154" s="921" t="s">
        <v>88</v>
      </c>
      <c r="D154" s="272" t="s">
        <v>89</v>
      </c>
      <c r="E154" s="273" t="s">
        <v>90</v>
      </c>
      <c r="F154" s="767" t="s">
        <v>91</v>
      </c>
      <c r="G154" s="860" t="s">
        <v>604</v>
      </c>
      <c r="H154" s="262"/>
      <c r="I154" s="262"/>
      <c r="J154" s="262"/>
      <c r="K154" s="262"/>
      <c r="L154" s="262"/>
      <c r="M154" s="262"/>
    </row>
    <row r="155" spans="1:13" ht="15" customHeight="1" thickBot="1" x14ac:dyDescent="0.4">
      <c r="A155" s="925"/>
      <c r="B155" s="925"/>
      <c r="C155" s="922"/>
      <c r="D155" s="840" t="s">
        <v>7</v>
      </c>
      <c r="E155" s="841" t="s">
        <v>0</v>
      </c>
      <c r="F155" s="768" t="s">
        <v>0</v>
      </c>
      <c r="G155" s="770" t="s">
        <v>605</v>
      </c>
      <c r="H155" s="262"/>
      <c r="I155" s="262"/>
      <c r="J155" s="262"/>
      <c r="K155" s="262"/>
      <c r="L155" s="262"/>
      <c r="M155" s="262"/>
    </row>
    <row r="156" spans="1:13" ht="16" customHeight="1" x14ac:dyDescent="0.35">
      <c r="A156" s="192" t="s">
        <v>18</v>
      </c>
      <c r="B156" s="193">
        <v>45627</v>
      </c>
      <c r="C156" s="285"/>
      <c r="D156" s="262"/>
      <c r="E156" s="682"/>
      <c r="F156" s="616"/>
      <c r="G156" s="616"/>
      <c r="H156" s="262"/>
      <c r="I156" s="262"/>
      <c r="J156" s="262"/>
      <c r="K156" s="262"/>
      <c r="L156" s="262"/>
      <c r="M156" s="262"/>
    </row>
    <row r="157" spans="1:13" ht="14.5" customHeight="1" x14ac:dyDescent="0.35">
      <c r="A157" s="192" t="s">
        <v>20</v>
      </c>
      <c r="B157" s="193">
        <v>45628</v>
      </c>
      <c r="C157" s="280">
        <v>770</v>
      </c>
      <c r="D157" s="197">
        <v>9</v>
      </c>
      <c r="E157" s="675">
        <v>0</v>
      </c>
      <c r="F157" s="613">
        <v>0</v>
      </c>
      <c r="G157" s="613">
        <v>0</v>
      </c>
      <c r="H157" s="262"/>
      <c r="I157" s="262"/>
      <c r="J157" s="262"/>
      <c r="K157" s="262"/>
      <c r="L157" s="262"/>
      <c r="M157" s="262"/>
    </row>
    <row r="158" spans="1:13" ht="14.5" x14ac:dyDescent="0.35">
      <c r="A158" s="192" t="s">
        <v>22</v>
      </c>
      <c r="B158" s="193">
        <v>45629</v>
      </c>
      <c r="C158" s="479">
        <v>4931</v>
      </c>
      <c r="D158" s="262">
        <v>10</v>
      </c>
      <c r="E158" s="681">
        <v>0</v>
      </c>
      <c r="F158" s="713">
        <v>0</v>
      </c>
      <c r="G158" s="713">
        <v>0</v>
      </c>
      <c r="H158" s="262"/>
      <c r="I158" s="262"/>
      <c r="J158" s="262"/>
      <c r="K158" s="262"/>
      <c r="L158" s="262"/>
      <c r="M158" s="262"/>
    </row>
    <row r="159" spans="1:13" ht="14.5" x14ac:dyDescent="0.35">
      <c r="A159" s="192" t="s">
        <v>24</v>
      </c>
      <c r="B159" s="193">
        <v>45630</v>
      </c>
      <c r="C159" s="280">
        <v>350</v>
      </c>
      <c r="D159" s="197">
        <v>9</v>
      </c>
      <c r="E159" s="675">
        <v>2</v>
      </c>
      <c r="F159" s="613">
        <v>0</v>
      </c>
      <c r="G159" s="613">
        <v>0</v>
      </c>
      <c r="H159" s="262"/>
      <c r="I159" s="262"/>
      <c r="J159" s="262"/>
      <c r="K159" s="262"/>
      <c r="L159" s="262"/>
      <c r="M159" s="262"/>
    </row>
    <row r="160" spans="1:13" ht="14.5" x14ac:dyDescent="0.35">
      <c r="A160" s="192" t="s">
        <v>10</v>
      </c>
      <c r="B160" s="193">
        <v>45631</v>
      </c>
      <c r="C160" s="283">
        <v>1603</v>
      </c>
      <c r="D160" s="262">
        <v>12</v>
      </c>
      <c r="E160" s="682">
        <v>0</v>
      </c>
      <c r="F160" s="616">
        <v>0</v>
      </c>
      <c r="G160" s="616">
        <v>0</v>
      </c>
      <c r="H160" s="262"/>
      <c r="I160" s="262"/>
      <c r="J160" s="262"/>
      <c r="K160" s="262"/>
      <c r="L160" s="262"/>
      <c r="M160" s="262"/>
    </row>
    <row r="161" spans="1:13" ht="14.5" x14ac:dyDescent="0.35">
      <c r="A161" s="192" t="s">
        <v>13</v>
      </c>
      <c r="B161" s="193">
        <v>45632</v>
      </c>
      <c r="C161" s="283">
        <v>2411</v>
      </c>
      <c r="D161" s="197">
        <v>13</v>
      </c>
      <c r="E161" s="682">
        <v>1</v>
      </c>
      <c r="F161" s="616">
        <v>1</v>
      </c>
      <c r="G161" s="616">
        <v>0</v>
      </c>
      <c r="H161" s="262"/>
      <c r="I161" s="262"/>
      <c r="J161" s="262"/>
      <c r="K161" s="262"/>
      <c r="L161" s="262"/>
      <c r="M161" s="262"/>
    </row>
    <row r="162" spans="1:13" ht="14.5" x14ac:dyDescent="0.35">
      <c r="A162" s="192" t="s">
        <v>16</v>
      </c>
      <c r="B162" s="193">
        <v>45633</v>
      </c>
      <c r="C162" s="480">
        <v>1537</v>
      </c>
      <c r="D162" s="262">
        <v>11</v>
      </c>
      <c r="E162" s="680">
        <v>2</v>
      </c>
      <c r="F162" s="714">
        <v>1</v>
      </c>
      <c r="G162" s="714">
        <v>0</v>
      </c>
      <c r="H162" s="262"/>
      <c r="I162" s="262"/>
      <c r="J162" s="262"/>
      <c r="K162" s="262"/>
      <c r="L162" s="262"/>
      <c r="M162" s="262"/>
    </row>
    <row r="163" spans="1:13" ht="14.5" x14ac:dyDescent="0.35">
      <c r="A163" s="192" t="s">
        <v>18</v>
      </c>
      <c r="B163" s="193">
        <v>45634</v>
      </c>
      <c r="C163" s="285"/>
      <c r="D163" s="197"/>
      <c r="E163" s="678"/>
      <c r="F163" s="715"/>
      <c r="G163" s="715"/>
      <c r="H163" s="262"/>
      <c r="I163" s="262"/>
      <c r="J163" s="262"/>
      <c r="K163" s="262"/>
      <c r="L163" s="262"/>
      <c r="M163" s="262"/>
    </row>
    <row r="164" spans="1:13" ht="14.5" x14ac:dyDescent="0.35">
      <c r="A164" s="192" t="s">
        <v>20</v>
      </c>
      <c r="B164" s="193">
        <v>45635</v>
      </c>
      <c r="C164" s="285">
        <v>200</v>
      </c>
      <c r="D164" s="262">
        <v>13</v>
      </c>
      <c r="E164" s="678">
        <v>0</v>
      </c>
      <c r="F164" s="715">
        <v>0</v>
      </c>
      <c r="G164" s="715">
        <v>0</v>
      </c>
      <c r="H164" s="262"/>
      <c r="I164" s="262"/>
      <c r="J164" s="262"/>
      <c r="K164" s="262"/>
      <c r="L164" s="262"/>
      <c r="M164" s="262"/>
    </row>
    <row r="165" spans="1:13" ht="14.5" x14ac:dyDescent="0.35">
      <c r="A165" s="192" t="s">
        <v>22</v>
      </c>
      <c r="B165" s="193">
        <v>45636</v>
      </c>
      <c r="C165" s="285">
        <v>4309</v>
      </c>
      <c r="D165" s="197">
        <v>24</v>
      </c>
      <c r="E165" s="680">
        <v>0</v>
      </c>
      <c r="F165" s="714">
        <v>1</v>
      </c>
      <c r="G165" s="714">
        <v>0</v>
      </c>
      <c r="H165" s="262"/>
      <c r="I165" s="262"/>
      <c r="J165" s="262"/>
      <c r="K165" s="262"/>
      <c r="L165" s="262"/>
      <c r="M165" s="262"/>
    </row>
    <row r="166" spans="1:13" ht="14.5" x14ac:dyDescent="0.35">
      <c r="A166" s="192" t="s">
        <v>24</v>
      </c>
      <c r="B166" s="193">
        <v>45637</v>
      </c>
      <c r="C166" s="285">
        <v>4770</v>
      </c>
      <c r="D166" s="262">
        <v>13</v>
      </c>
      <c r="E166" s="678">
        <v>1</v>
      </c>
      <c r="F166" s="715">
        <v>0</v>
      </c>
      <c r="G166" s="715">
        <v>0</v>
      </c>
      <c r="H166" s="262"/>
      <c r="I166" s="262"/>
      <c r="J166" s="262"/>
      <c r="K166" s="262"/>
      <c r="L166" s="262"/>
      <c r="M166" s="262"/>
    </row>
    <row r="167" spans="1:13" ht="14.5" customHeight="1" x14ac:dyDescent="0.35">
      <c r="A167" s="192" t="s">
        <v>10</v>
      </c>
      <c r="B167" s="193">
        <v>45638</v>
      </c>
      <c r="C167" s="285">
        <v>1915</v>
      </c>
      <c r="D167" s="197">
        <v>15</v>
      </c>
      <c r="E167" s="681">
        <v>1</v>
      </c>
      <c r="F167" s="713">
        <v>1</v>
      </c>
      <c r="G167" s="713">
        <v>0</v>
      </c>
      <c r="H167" s="262"/>
      <c r="I167" s="262"/>
      <c r="J167" s="262"/>
      <c r="K167" s="262"/>
      <c r="L167" s="262"/>
      <c r="M167" s="262"/>
    </row>
    <row r="168" spans="1:13" ht="15" customHeight="1" x14ac:dyDescent="0.35">
      <c r="A168" s="192" t="s">
        <v>13</v>
      </c>
      <c r="B168" s="193">
        <v>45639</v>
      </c>
      <c r="C168" s="285">
        <v>110</v>
      </c>
      <c r="D168" s="262">
        <v>7</v>
      </c>
      <c r="E168" s="678">
        <v>0</v>
      </c>
      <c r="F168" s="715">
        <v>0</v>
      </c>
      <c r="G168" s="715">
        <v>0</v>
      </c>
      <c r="H168" s="262"/>
      <c r="I168" s="262"/>
      <c r="J168" s="262"/>
      <c r="K168" s="262"/>
      <c r="L168" s="262"/>
      <c r="M168" s="262"/>
    </row>
    <row r="169" spans="1:13" ht="16" customHeight="1" x14ac:dyDescent="0.35">
      <c r="A169" s="192" t="s">
        <v>16</v>
      </c>
      <c r="B169" s="193">
        <v>45640</v>
      </c>
      <c r="C169" s="285">
        <v>620</v>
      </c>
      <c r="D169" s="197">
        <v>14</v>
      </c>
      <c r="E169" s="681">
        <v>1</v>
      </c>
      <c r="F169" s="713">
        <v>0</v>
      </c>
      <c r="G169" s="713">
        <v>0</v>
      </c>
      <c r="H169" s="262"/>
      <c r="I169" s="262"/>
      <c r="J169" s="262"/>
      <c r="K169" s="262"/>
      <c r="L169" s="262"/>
      <c r="M169" s="262"/>
    </row>
    <row r="170" spans="1:13" ht="14.5" customHeight="1" x14ac:dyDescent="0.35">
      <c r="A170" s="192" t="s">
        <v>18</v>
      </c>
      <c r="B170" s="193">
        <v>45641</v>
      </c>
      <c r="C170" s="285"/>
      <c r="D170" s="262"/>
      <c r="E170" s="682"/>
      <c r="F170" s="616"/>
      <c r="G170" s="616"/>
      <c r="H170" s="262"/>
      <c r="I170" s="262"/>
      <c r="J170" s="262"/>
      <c r="K170" s="262"/>
      <c r="L170" s="262"/>
      <c r="M170" s="262"/>
    </row>
    <row r="171" spans="1:13" ht="14.5" x14ac:dyDescent="0.35">
      <c r="A171" s="192" t="s">
        <v>20</v>
      </c>
      <c r="B171" s="193">
        <v>45642</v>
      </c>
      <c r="C171" s="285">
        <v>4051</v>
      </c>
      <c r="D171" s="286">
        <v>8</v>
      </c>
      <c r="E171" s="681">
        <v>0</v>
      </c>
      <c r="F171" s="713">
        <v>0</v>
      </c>
      <c r="G171" s="713">
        <v>0</v>
      </c>
      <c r="H171" s="262"/>
      <c r="I171" s="262"/>
      <c r="J171" s="262"/>
      <c r="K171" s="262"/>
      <c r="L171" s="262"/>
      <c r="M171" s="262"/>
    </row>
    <row r="172" spans="1:13" ht="14.5" x14ac:dyDescent="0.35">
      <c r="A172" s="192" t="s">
        <v>22</v>
      </c>
      <c r="B172" s="193">
        <v>45643</v>
      </c>
      <c r="C172" s="285">
        <v>1889</v>
      </c>
      <c r="D172" s="481">
        <v>12</v>
      </c>
      <c r="E172" s="675">
        <v>0</v>
      </c>
      <c r="F172" s="613">
        <v>2</v>
      </c>
      <c r="G172" s="613">
        <v>0</v>
      </c>
      <c r="H172" s="262"/>
      <c r="I172" s="262"/>
      <c r="J172" s="262"/>
      <c r="K172" s="262"/>
      <c r="L172" s="262"/>
      <c r="M172" s="262"/>
    </row>
    <row r="173" spans="1:13" ht="14.5" x14ac:dyDescent="0.35">
      <c r="A173" s="192" t="s">
        <v>24</v>
      </c>
      <c r="B173" s="193">
        <v>45644</v>
      </c>
      <c r="C173" s="285">
        <v>1705</v>
      </c>
      <c r="D173" s="288">
        <v>9</v>
      </c>
      <c r="E173" s="682">
        <v>0</v>
      </c>
      <c r="F173" s="616">
        <v>0</v>
      </c>
      <c r="G173" s="616">
        <v>0</v>
      </c>
      <c r="H173" s="262"/>
      <c r="I173" s="262"/>
      <c r="J173" s="262"/>
      <c r="K173" s="262"/>
      <c r="L173" s="262"/>
      <c r="M173" s="262"/>
    </row>
    <row r="174" spans="1:13" ht="15.65" customHeight="1" x14ac:dyDescent="0.35">
      <c r="A174" s="192" t="s">
        <v>10</v>
      </c>
      <c r="B174" s="193">
        <v>45645</v>
      </c>
      <c r="C174" s="285">
        <v>1040</v>
      </c>
      <c r="D174" s="481">
        <v>14</v>
      </c>
      <c r="E174" s="675">
        <v>1</v>
      </c>
      <c r="F174" s="613">
        <v>2</v>
      </c>
      <c r="G174" s="613">
        <v>0</v>
      </c>
      <c r="H174" s="262"/>
      <c r="I174" s="262"/>
      <c r="J174" s="262"/>
      <c r="K174" s="262"/>
      <c r="L174" s="262"/>
      <c r="M174" s="262"/>
    </row>
    <row r="175" spans="1:13" ht="14.5" x14ac:dyDescent="0.35">
      <c r="A175" s="192" t="s">
        <v>13</v>
      </c>
      <c r="B175" s="193">
        <v>45646</v>
      </c>
      <c r="C175" s="285">
        <v>380</v>
      </c>
      <c r="D175" s="286">
        <v>11</v>
      </c>
      <c r="E175" s="675">
        <v>1</v>
      </c>
      <c r="F175" s="613">
        <v>2</v>
      </c>
      <c r="G175" s="613">
        <v>0</v>
      </c>
      <c r="H175" s="262"/>
      <c r="I175" s="262"/>
      <c r="J175" s="262"/>
      <c r="K175" s="262"/>
      <c r="L175" s="262"/>
      <c r="M175" s="262"/>
    </row>
    <row r="176" spans="1:13" ht="14.5" x14ac:dyDescent="0.35">
      <c r="A176" s="192" t="s">
        <v>16</v>
      </c>
      <c r="B176" s="193">
        <v>45647</v>
      </c>
      <c r="C176" s="285">
        <v>1039</v>
      </c>
      <c r="D176" s="481">
        <v>8</v>
      </c>
      <c r="E176" s="681">
        <v>0</v>
      </c>
      <c r="F176" s="713">
        <v>1</v>
      </c>
      <c r="G176" s="713">
        <v>0</v>
      </c>
      <c r="H176" s="262"/>
      <c r="I176" s="262"/>
      <c r="J176" s="262"/>
      <c r="K176" s="262"/>
      <c r="L176" s="262"/>
      <c r="M176" s="262"/>
    </row>
    <row r="177" spans="1:15" ht="14.5" x14ac:dyDescent="0.35">
      <c r="A177" s="192" t="s">
        <v>18</v>
      </c>
      <c r="B177" s="193">
        <v>45648</v>
      </c>
      <c r="C177" s="285"/>
      <c r="D177" s="286"/>
      <c r="E177" s="681"/>
      <c r="F177" s="713"/>
      <c r="G177" s="713"/>
      <c r="H177" s="262"/>
      <c r="I177" s="262"/>
      <c r="J177" s="262"/>
      <c r="K177" s="262"/>
      <c r="L177" s="262"/>
      <c r="M177" s="262"/>
    </row>
    <row r="178" spans="1:15" ht="14.5" x14ac:dyDescent="0.35">
      <c r="A178" s="192" t="s">
        <v>20</v>
      </c>
      <c r="B178" s="193">
        <v>45649</v>
      </c>
      <c r="C178" s="285">
        <v>827</v>
      </c>
      <c r="D178" s="481">
        <v>8</v>
      </c>
      <c r="E178" s="675">
        <v>1</v>
      </c>
      <c r="F178" s="613">
        <v>0</v>
      </c>
      <c r="G178" s="613">
        <v>0</v>
      </c>
      <c r="H178" s="262"/>
      <c r="I178" s="262"/>
      <c r="J178" s="262"/>
      <c r="K178" s="262"/>
      <c r="L178" s="262"/>
      <c r="M178" s="262"/>
    </row>
    <row r="179" spans="1:15" ht="14.5" x14ac:dyDescent="0.35">
      <c r="A179" s="192" t="s">
        <v>22</v>
      </c>
      <c r="B179" s="193">
        <v>45650</v>
      </c>
      <c r="C179" s="285">
        <v>160</v>
      </c>
      <c r="D179" s="286">
        <v>5</v>
      </c>
      <c r="E179" s="681">
        <v>1</v>
      </c>
      <c r="F179" s="713">
        <v>0</v>
      </c>
      <c r="G179" s="713">
        <v>0</v>
      </c>
      <c r="H179" s="262"/>
      <c r="I179" s="262"/>
      <c r="J179" s="262"/>
      <c r="K179" s="262"/>
      <c r="L179" s="262"/>
      <c r="M179" s="262"/>
    </row>
    <row r="180" spans="1:15" ht="14.5" x14ac:dyDescent="0.35">
      <c r="A180" s="192" t="s">
        <v>24</v>
      </c>
      <c r="B180" s="193">
        <v>45651</v>
      </c>
      <c r="C180" s="482"/>
      <c r="D180" s="481"/>
      <c r="E180" s="681"/>
      <c r="F180" s="713"/>
      <c r="G180" s="713"/>
      <c r="H180" s="262"/>
      <c r="I180" s="262"/>
      <c r="J180" s="262"/>
      <c r="K180" s="262"/>
      <c r="L180" s="262"/>
      <c r="M180" s="262"/>
    </row>
    <row r="181" spans="1:15" ht="14.5" x14ac:dyDescent="0.35">
      <c r="A181" s="192" t="s">
        <v>10</v>
      </c>
      <c r="B181" s="193">
        <v>45652</v>
      </c>
      <c r="C181" s="290">
        <v>5136</v>
      </c>
      <c r="D181" s="286">
        <v>9</v>
      </c>
      <c r="E181" s="682">
        <v>0</v>
      </c>
      <c r="F181" s="616">
        <v>0</v>
      </c>
      <c r="G181" s="616">
        <v>0</v>
      </c>
      <c r="H181" s="262"/>
      <c r="I181" s="262"/>
      <c r="J181" s="262"/>
      <c r="K181" s="262"/>
      <c r="L181" s="262"/>
      <c r="M181" s="262"/>
    </row>
    <row r="182" spans="1:15" ht="14.5" x14ac:dyDescent="0.35">
      <c r="A182" s="192" t="s">
        <v>13</v>
      </c>
      <c r="B182" s="193">
        <v>45653</v>
      </c>
      <c r="C182" s="290">
        <v>640</v>
      </c>
      <c r="D182" s="481">
        <v>9</v>
      </c>
      <c r="E182" s="682">
        <v>0</v>
      </c>
      <c r="F182" s="616">
        <v>0</v>
      </c>
      <c r="G182" s="616">
        <v>0</v>
      </c>
      <c r="H182" s="262"/>
      <c r="I182" s="262"/>
      <c r="J182" s="262"/>
      <c r="K182" s="262"/>
      <c r="L182" s="262"/>
      <c r="M182" s="262"/>
    </row>
    <row r="183" spans="1:15" ht="14.5" x14ac:dyDescent="0.35">
      <c r="A183" s="192" t="s">
        <v>16</v>
      </c>
      <c r="B183" s="193">
        <v>45654</v>
      </c>
      <c r="C183" s="290">
        <v>1122</v>
      </c>
      <c r="D183" s="286">
        <v>8</v>
      </c>
      <c r="E183" s="682">
        <v>1</v>
      </c>
      <c r="F183" s="616">
        <v>0</v>
      </c>
      <c r="G183" s="616">
        <v>0</v>
      </c>
      <c r="H183" s="262"/>
      <c r="I183" s="262"/>
      <c r="J183" s="262"/>
      <c r="K183" s="262"/>
      <c r="L183" s="262"/>
      <c r="M183" s="262"/>
    </row>
    <row r="184" spans="1:15" ht="14.5" x14ac:dyDescent="0.35">
      <c r="A184" s="192" t="s">
        <v>18</v>
      </c>
      <c r="B184" s="193">
        <v>45655</v>
      </c>
      <c r="C184" s="290"/>
      <c r="D184" s="481"/>
      <c r="E184" s="682"/>
      <c r="F184" s="616"/>
      <c r="G184" s="616"/>
      <c r="H184" s="262"/>
      <c r="I184" s="262"/>
      <c r="J184" s="262"/>
      <c r="K184" s="262"/>
      <c r="L184" s="262"/>
      <c r="M184" s="262"/>
    </row>
    <row r="185" spans="1:15" ht="14.5" x14ac:dyDescent="0.35">
      <c r="A185" s="192" t="s">
        <v>20</v>
      </c>
      <c r="B185" s="193">
        <v>45656</v>
      </c>
      <c r="C185" s="290">
        <v>270</v>
      </c>
      <c r="D185" s="262">
        <v>8</v>
      </c>
      <c r="E185" s="682">
        <v>0</v>
      </c>
      <c r="F185" s="616">
        <v>0</v>
      </c>
      <c r="G185" s="616">
        <v>0</v>
      </c>
      <c r="H185" s="262"/>
      <c r="I185" s="262"/>
      <c r="J185" s="262"/>
      <c r="K185" s="262"/>
      <c r="L185" s="262"/>
      <c r="M185" s="262"/>
    </row>
    <row r="186" spans="1:15" thickBot="1" x14ac:dyDescent="0.4">
      <c r="A186" s="192" t="s">
        <v>22</v>
      </c>
      <c r="B186" s="193">
        <v>45657</v>
      </c>
      <c r="C186" s="718">
        <v>2806</v>
      </c>
      <c r="D186" s="719">
        <v>13</v>
      </c>
      <c r="E186" s="720">
        <v>0</v>
      </c>
      <c r="F186" s="721">
        <v>0</v>
      </c>
      <c r="G186" s="721">
        <v>0</v>
      </c>
      <c r="H186" s="262"/>
      <c r="I186" s="262"/>
      <c r="J186" s="262"/>
      <c r="K186" s="262"/>
      <c r="L186" s="262"/>
      <c r="M186" s="262"/>
    </row>
    <row r="187" spans="1:15" ht="14.5" x14ac:dyDescent="0.35">
      <c r="A187" s="257"/>
      <c r="B187" s="483"/>
      <c r="C187" s="484">
        <f>SUM(C155:C186)</f>
        <v>44591</v>
      </c>
      <c r="D187" s="485">
        <f>SUM(D155:D186)</f>
        <v>272</v>
      </c>
      <c r="E187" s="486">
        <f>SUM(E155:E186)</f>
        <v>13</v>
      </c>
      <c r="F187" s="487">
        <f>SUM(F155:F186)</f>
        <v>11</v>
      </c>
      <c r="G187" s="487">
        <f>SUM(G155:G186)</f>
        <v>0</v>
      </c>
      <c r="H187" s="262"/>
      <c r="I187" s="262"/>
      <c r="J187" s="262"/>
      <c r="M187" s="262"/>
    </row>
    <row r="188" spans="1:15" ht="14.5" x14ac:dyDescent="0.35">
      <c r="A188" s="262"/>
      <c r="B188" s="433"/>
      <c r="C188" s="508"/>
      <c r="D188" s="262"/>
      <c r="E188" s="508"/>
      <c r="F188" s="262"/>
      <c r="G188" s="262"/>
      <c r="H188" s="262"/>
      <c r="I188" s="262"/>
      <c r="J188" s="262"/>
    </row>
    <row r="189" spans="1:15" ht="14.5" x14ac:dyDescent="0.35">
      <c r="A189" s="262"/>
      <c r="B189" s="262"/>
      <c r="C189" s="511"/>
      <c r="D189" s="511"/>
      <c r="E189" s="475"/>
      <c r="F189" s="511"/>
      <c r="G189" s="511"/>
      <c r="H189" s="262"/>
      <c r="I189" s="262"/>
      <c r="J189" s="262"/>
      <c r="M189" s="262"/>
    </row>
    <row r="190" spans="1:15" thickBot="1" x14ac:dyDescent="0.4">
      <c r="A190" s="262"/>
      <c r="D190" s="511"/>
    </row>
    <row r="191" spans="1:15" ht="14.5" x14ac:dyDescent="0.35">
      <c r="A191" s="777"/>
      <c r="B191" s="778" t="s">
        <v>606</v>
      </c>
      <c r="C191" s="779" t="s">
        <v>93</v>
      </c>
      <c r="D191" s="780" t="s">
        <v>111</v>
      </c>
      <c r="E191" s="780" t="s">
        <v>112</v>
      </c>
      <c r="F191" s="780" t="s">
        <v>113</v>
      </c>
      <c r="G191" s="780" t="s">
        <v>114</v>
      </c>
      <c r="H191" s="780" t="s">
        <v>103</v>
      </c>
      <c r="I191" s="780" t="s">
        <v>104</v>
      </c>
      <c r="J191" s="780" t="s">
        <v>105</v>
      </c>
      <c r="K191" s="780" t="s">
        <v>106</v>
      </c>
      <c r="L191" s="780" t="s">
        <v>107</v>
      </c>
      <c r="M191" s="780" t="s">
        <v>108</v>
      </c>
      <c r="N191" s="835" t="s">
        <v>109</v>
      </c>
      <c r="O191" s="818" t="s">
        <v>98</v>
      </c>
    </row>
    <row r="192" spans="1:15" ht="14.5" x14ac:dyDescent="0.35">
      <c r="A192" s="781" t="s">
        <v>99</v>
      </c>
      <c r="B192" s="782">
        <f>C35/26*26</f>
        <v>70795</v>
      </c>
      <c r="C192" s="842">
        <f>B192-60000</f>
        <v>10795</v>
      </c>
      <c r="D192" s="783">
        <v>59678</v>
      </c>
      <c r="E192" s="784">
        <v>65325</v>
      </c>
      <c r="F192" s="785">
        <v>71363</v>
      </c>
      <c r="G192" s="785">
        <v>75374</v>
      </c>
      <c r="H192" s="786">
        <v>72600</v>
      </c>
      <c r="I192" s="787">
        <v>72030</v>
      </c>
      <c r="J192" s="787">
        <v>72545</v>
      </c>
      <c r="K192" s="786">
        <v>75155</v>
      </c>
      <c r="L192" s="784">
        <v>62987</v>
      </c>
      <c r="M192" s="784">
        <v>64844</v>
      </c>
      <c r="N192" s="788">
        <v>53912</v>
      </c>
      <c r="O192" s="789">
        <f>AVERAGE(D192:N192)</f>
        <v>67801.181818181823</v>
      </c>
    </row>
    <row r="193" spans="1:15" ht="14.5" x14ac:dyDescent="0.35">
      <c r="A193" s="790" t="s">
        <v>37</v>
      </c>
      <c r="B193" s="782">
        <f>C74/25*25</f>
        <v>46158</v>
      </c>
      <c r="C193" s="852">
        <f>B193-48000</f>
        <v>-1842</v>
      </c>
      <c r="D193" s="783">
        <v>43365</v>
      </c>
      <c r="E193" s="784">
        <v>38287</v>
      </c>
      <c r="F193" s="785">
        <v>45858</v>
      </c>
      <c r="G193" s="785">
        <v>55612</v>
      </c>
      <c r="H193" s="786">
        <v>53980</v>
      </c>
      <c r="I193" s="787">
        <v>49420</v>
      </c>
      <c r="J193" s="787">
        <v>54821</v>
      </c>
      <c r="K193" s="786">
        <v>56018</v>
      </c>
      <c r="L193" s="784">
        <v>60228</v>
      </c>
      <c r="M193" s="784">
        <v>54103</v>
      </c>
      <c r="N193" s="788">
        <v>41310</v>
      </c>
      <c r="O193" s="789">
        <f>AVERAGE(D193:N193)</f>
        <v>50272.909090909088</v>
      </c>
    </row>
    <row r="194" spans="1:15" ht="14.5" x14ac:dyDescent="0.35">
      <c r="A194" s="790" t="s">
        <v>100</v>
      </c>
      <c r="B194" s="782">
        <f>C110/25*25</f>
        <v>56104.999999999993</v>
      </c>
      <c r="C194" s="842">
        <f>B194-54000</f>
        <v>2104.9999999999927</v>
      </c>
      <c r="D194" s="783">
        <v>43344</v>
      </c>
      <c r="E194" s="784">
        <v>54088</v>
      </c>
      <c r="F194" s="785">
        <v>56961</v>
      </c>
      <c r="G194" s="785">
        <v>56144</v>
      </c>
      <c r="H194" s="786">
        <v>54118</v>
      </c>
      <c r="I194" s="787">
        <v>58320</v>
      </c>
      <c r="J194" s="787">
        <v>51390</v>
      </c>
      <c r="K194" s="786">
        <v>60136.999999999993</v>
      </c>
      <c r="L194" s="784">
        <v>56294</v>
      </c>
      <c r="M194" s="784">
        <v>71263</v>
      </c>
      <c r="N194" s="788">
        <v>57204</v>
      </c>
      <c r="O194" s="789">
        <f>AVERAGE(D194:N194)</f>
        <v>56296.63636363636</v>
      </c>
    </row>
    <row r="195" spans="1:15" ht="14.5" x14ac:dyDescent="0.35">
      <c r="A195" s="791" t="s">
        <v>70</v>
      </c>
      <c r="B195" s="782">
        <f>C148/25*25</f>
        <v>34895</v>
      </c>
      <c r="C195" s="852">
        <f>B195-36000</f>
        <v>-1105</v>
      </c>
      <c r="D195" s="792"/>
      <c r="E195" s="793"/>
      <c r="F195" s="794"/>
      <c r="G195" s="794"/>
      <c r="H195" s="795"/>
      <c r="I195" s="796"/>
      <c r="J195" s="796">
        <v>15641</v>
      </c>
      <c r="K195" s="786">
        <v>49296</v>
      </c>
      <c r="L195" s="784">
        <v>46460</v>
      </c>
      <c r="M195" s="784">
        <v>38381</v>
      </c>
      <c r="N195" s="788">
        <v>34911</v>
      </c>
      <c r="O195" s="789">
        <f>AVERAGE(K195:N195)</f>
        <v>42262</v>
      </c>
    </row>
    <row r="196" spans="1:15" thickBot="1" x14ac:dyDescent="0.4">
      <c r="A196" s="797" t="s">
        <v>88</v>
      </c>
      <c r="B196" s="798">
        <f>C187/25*25</f>
        <v>44591</v>
      </c>
      <c r="C196" s="799"/>
      <c r="D196" s="783">
        <v>34063</v>
      </c>
      <c r="E196" s="784">
        <v>44190</v>
      </c>
      <c r="F196" s="785">
        <v>32129</v>
      </c>
      <c r="G196" s="785">
        <v>67460</v>
      </c>
      <c r="H196" s="786">
        <v>57984</v>
      </c>
      <c r="I196" s="787">
        <v>47444</v>
      </c>
      <c r="J196" s="787">
        <v>56888</v>
      </c>
      <c r="K196" s="800">
        <v>64418</v>
      </c>
      <c r="L196" s="784">
        <v>47105</v>
      </c>
      <c r="M196" s="784">
        <v>51582</v>
      </c>
      <c r="N196" s="788">
        <v>45924</v>
      </c>
      <c r="O196" s="789">
        <f>AVERAGE(D196:N196)</f>
        <v>49926.090909090912</v>
      </c>
    </row>
    <row r="197" spans="1:15" thickBot="1" x14ac:dyDescent="0.4">
      <c r="A197" s="801" t="s">
        <v>101</v>
      </c>
      <c r="B197" s="802">
        <f>SUM(B192:B196)</f>
        <v>252544</v>
      </c>
      <c r="C197" s="853">
        <f>SUM(C192:C196)</f>
        <v>9952.9999999999927</v>
      </c>
      <c r="D197" s="803">
        <v>180450</v>
      </c>
      <c r="E197" s="804">
        <f>SUM(E192:E196)</f>
        <v>201890</v>
      </c>
      <c r="F197" s="804">
        <f>SUM(F192:F196)</f>
        <v>206311</v>
      </c>
      <c r="G197" s="804">
        <f>SUM(G192:G196)</f>
        <v>254590</v>
      </c>
      <c r="H197" s="804">
        <f>SUM(H192:H196)</f>
        <v>238682</v>
      </c>
      <c r="I197" s="804">
        <f>SUM(I192:I196)</f>
        <v>227214</v>
      </c>
      <c r="J197" s="804">
        <v>251285</v>
      </c>
      <c r="K197" s="805">
        <v>305024</v>
      </c>
      <c r="L197" s="806">
        <f>SUM(L192:L196)</f>
        <v>273074</v>
      </c>
      <c r="M197" s="807">
        <v>280173</v>
      </c>
      <c r="N197" s="808">
        <v>233261</v>
      </c>
      <c r="O197" s="809">
        <f>SUM(O192:O196)</f>
        <v>266558.81818181818</v>
      </c>
    </row>
    <row r="198" spans="1:15" ht="14.5" x14ac:dyDescent="0.35">
      <c r="A198" s="810"/>
      <c r="B198" s="811">
        <f>B197/25</f>
        <v>10101.76</v>
      </c>
      <c r="C198" s="810"/>
      <c r="D198" s="812">
        <f>D197/27</f>
        <v>6683.333333333333</v>
      </c>
      <c r="E198" s="812">
        <f>E197/25</f>
        <v>8075.6</v>
      </c>
      <c r="F198" s="812">
        <f>F197/26</f>
        <v>7935.0384615384619</v>
      </c>
      <c r="G198" s="812">
        <f>G197/26</f>
        <v>9791.9230769230762</v>
      </c>
      <c r="H198" s="812">
        <f>H197/26</f>
        <v>9180.0769230769238</v>
      </c>
      <c r="I198" s="812">
        <f>I197/25</f>
        <v>9088.56</v>
      </c>
      <c r="J198" s="812">
        <v>9664.8076923076915</v>
      </c>
      <c r="K198" s="812">
        <v>11297.185185185184</v>
      </c>
      <c r="L198" s="812">
        <f>L197/27</f>
        <v>10113.851851851852</v>
      </c>
      <c r="M198" s="812">
        <f>M197/27</f>
        <v>10376.777777777777</v>
      </c>
      <c r="N198" s="832">
        <v>9330.44</v>
      </c>
      <c r="O198" s="812">
        <f>AVERAGE(D198:N198)</f>
        <v>9230.6903910903911</v>
      </c>
    </row>
    <row r="199" spans="1:15" ht="14.5" x14ac:dyDescent="0.35">
      <c r="A199" s="810"/>
      <c r="B199" s="813"/>
      <c r="C199" s="814"/>
      <c r="D199" s="815"/>
      <c r="E199" s="815"/>
      <c r="F199" s="815"/>
      <c r="G199" s="815"/>
      <c r="H199" s="815"/>
      <c r="I199" s="815"/>
      <c r="J199" s="815"/>
      <c r="K199" s="815"/>
      <c r="L199" s="815"/>
      <c r="M199" s="810"/>
      <c r="N199" s="810"/>
      <c r="O199" s="810"/>
    </row>
    <row r="200" spans="1:15" ht="14.5" x14ac:dyDescent="0.35">
      <c r="A200" s="816" t="s">
        <v>102</v>
      </c>
      <c r="B200" s="816" t="s">
        <v>123</v>
      </c>
      <c r="C200" s="810"/>
      <c r="D200" s="816" t="s">
        <v>124</v>
      </c>
      <c r="E200" s="816" t="s">
        <v>125</v>
      </c>
      <c r="F200" s="816" t="s">
        <v>126</v>
      </c>
      <c r="G200" s="816" t="s">
        <v>127</v>
      </c>
      <c r="H200" s="816" t="s">
        <v>116</v>
      </c>
      <c r="I200" s="817" t="s">
        <v>117</v>
      </c>
      <c r="J200" s="816" t="s">
        <v>118</v>
      </c>
      <c r="K200" s="816" t="s">
        <v>119</v>
      </c>
      <c r="L200" s="816" t="s">
        <v>120</v>
      </c>
      <c r="M200" s="816" t="s">
        <v>121</v>
      </c>
      <c r="N200" s="816" t="s">
        <v>122</v>
      </c>
      <c r="O200" s="818" t="s">
        <v>98</v>
      </c>
    </row>
    <row r="201" spans="1:15" ht="14.5" x14ac:dyDescent="0.35">
      <c r="A201" s="819" t="s">
        <v>99</v>
      </c>
      <c r="B201" s="819">
        <v>50792</v>
      </c>
      <c r="C201" s="810"/>
      <c r="D201" s="819">
        <v>55786</v>
      </c>
      <c r="E201" s="819">
        <v>48081</v>
      </c>
      <c r="F201" s="819">
        <v>66142</v>
      </c>
      <c r="G201" s="819">
        <v>58127</v>
      </c>
      <c r="H201" s="819">
        <v>74979</v>
      </c>
      <c r="I201" s="820">
        <v>63950</v>
      </c>
      <c r="J201" s="819">
        <v>73973</v>
      </c>
      <c r="K201" s="819">
        <v>63776</v>
      </c>
      <c r="L201" s="819">
        <v>62209</v>
      </c>
      <c r="M201" s="819">
        <v>61961</v>
      </c>
      <c r="N201" s="819">
        <v>62927</v>
      </c>
      <c r="O201" s="821">
        <f>AVERAGE(B201:I201)</f>
        <v>59693.857142857145</v>
      </c>
    </row>
    <row r="202" spans="1:15" ht="14.5" x14ac:dyDescent="0.35">
      <c r="A202" s="819" t="s">
        <v>37</v>
      </c>
      <c r="B202" s="819">
        <v>42911</v>
      </c>
      <c r="C202" s="810"/>
      <c r="D202" s="819">
        <v>40388</v>
      </c>
      <c r="E202" s="819">
        <v>32034</v>
      </c>
      <c r="F202" s="819">
        <v>38086</v>
      </c>
      <c r="G202" s="819">
        <v>42706</v>
      </c>
      <c r="H202" s="819">
        <v>48870</v>
      </c>
      <c r="I202" s="820">
        <v>44783</v>
      </c>
      <c r="J202" s="819">
        <v>58612</v>
      </c>
      <c r="K202" s="819">
        <v>59247</v>
      </c>
      <c r="L202" s="819">
        <v>49882</v>
      </c>
      <c r="M202" s="819">
        <v>42564</v>
      </c>
      <c r="N202" s="819">
        <v>44217</v>
      </c>
      <c r="O202" s="821">
        <f>AVERAGE(B202:I202)</f>
        <v>41396.857142857145</v>
      </c>
    </row>
    <row r="203" spans="1:15" ht="14.5" x14ac:dyDescent="0.35">
      <c r="A203" s="819" t="s">
        <v>100</v>
      </c>
      <c r="B203" s="819">
        <v>42002</v>
      </c>
      <c r="C203" s="810"/>
      <c r="D203" s="819">
        <v>29164</v>
      </c>
      <c r="E203" s="819">
        <v>24425</v>
      </c>
      <c r="F203" s="819">
        <v>32384</v>
      </c>
      <c r="G203" s="819">
        <v>26635</v>
      </c>
      <c r="H203" s="819">
        <v>38487</v>
      </c>
      <c r="I203" s="820">
        <v>41827</v>
      </c>
      <c r="J203" s="819">
        <v>48432</v>
      </c>
      <c r="K203" s="819">
        <v>45807</v>
      </c>
      <c r="L203" s="819">
        <v>47219</v>
      </c>
      <c r="M203" s="819">
        <v>49140</v>
      </c>
      <c r="N203" s="819">
        <v>45889</v>
      </c>
      <c r="O203" s="821">
        <f>AVERAGE(B203:I203)</f>
        <v>33560.571428571428</v>
      </c>
    </row>
    <row r="204" spans="1:15" ht="14.5" x14ac:dyDescent="0.35">
      <c r="A204" s="819" t="s">
        <v>88</v>
      </c>
      <c r="B204" s="819">
        <v>62889</v>
      </c>
      <c r="C204" s="810"/>
      <c r="D204" s="819">
        <v>78647</v>
      </c>
      <c r="E204" s="819">
        <v>71233</v>
      </c>
      <c r="F204" s="819">
        <v>80881</v>
      </c>
      <c r="G204" s="819">
        <v>89693</v>
      </c>
      <c r="H204" s="819">
        <v>115741.16666666666</v>
      </c>
      <c r="I204" s="820">
        <v>92550</v>
      </c>
      <c r="J204" s="819">
        <v>102728</v>
      </c>
      <c r="K204" s="819">
        <v>102029</v>
      </c>
      <c r="L204" s="819">
        <v>73495</v>
      </c>
      <c r="M204" s="819">
        <v>77358</v>
      </c>
      <c r="N204" s="819">
        <v>75185</v>
      </c>
      <c r="O204" s="821">
        <f>AVERAGE(B204:I204)</f>
        <v>84519.166666666657</v>
      </c>
    </row>
    <row r="205" spans="1:15" ht="14.5" x14ac:dyDescent="0.35">
      <c r="A205" s="822" t="s">
        <v>101</v>
      </c>
      <c r="B205" s="823">
        <v>198594</v>
      </c>
      <c r="C205" s="810"/>
      <c r="D205" s="823">
        <v>203985</v>
      </c>
      <c r="E205" s="823">
        <v>175773</v>
      </c>
      <c r="F205" s="823">
        <v>217493</v>
      </c>
      <c r="G205" s="823">
        <v>217161</v>
      </c>
      <c r="H205" s="823">
        <f>SUM(H201:H204)</f>
        <v>278077.16666666663</v>
      </c>
      <c r="I205" s="823">
        <f>SUM(I201:I204)</f>
        <v>243110</v>
      </c>
      <c r="J205" s="823">
        <v>283745</v>
      </c>
      <c r="K205" s="823">
        <v>270859</v>
      </c>
      <c r="L205" s="823">
        <v>232805</v>
      </c>
      <c r="M205" s="823">
        <v>231023</v>
      </c>
      <c r="N205" s="823">
        <v>228218</v>
      </c>
      <c r="O205" s="809">
        <f>AVERAGE(B205:I205)</f>
        <v>219170.45238095237</v>
      </c>
    </row>
    <row r="206" spans="1:15" ht="14.5" x14ac:dyDescent="0.35">
      <c r="A206" s="824" t="s">
        <v>607</v>
      </c>
      <c r="B206" s="810"/>
      <c r="C206" s="810"/>
      <c r="D206" s="810"/>
      <c r="E206" s="815"/>
      <c r="F206" s="815"/>
      <c r="G206" s="815"/>
      <c r="H206" s="815"/>
      <c r="I206" s="815"/>
      <c r="J206" s="810"/>
      <c r="K206" s="810"/>
      <c r="L206" s="810"/>
      <c r="M206" s="810"/>
      <c r="N206" s="810"/>
      <c r="O206" s="810"/>
    </row>
    <row r="207" spans="1:15" ht="14.5" x14ac:dyDescent="0.35">
      <c r="A207" s="810"/>
      <c r="B207" s="810"/>
      <c r="C207" s="810"/>
      <c r="D207" s="810"/>
      <c r="E207" s="810"/>
      <c r="F207" s="810"/>
      <c r="G207" s="810"/>
      <c r="H207" s="810"/>
      <c r="I207" s="810"/>
      <c r="J207" s="810"/>
      <c r="K207" s="810"/>
      <c r="L207" s="810"/>
      <c r="M207" s="810"/>
      <c r="N207" s="810"/>
      <c r="O207" s="810"/>
    </row>
    <row r="208" spans="1:15" ht="14.5" x14ac:dyDescent="0.35">
      <c r="A208" s="817" t="s">
        <v>102</v>
      </c>
      <c r="B208" s="816" t="s">
        <v>135</v>
      </c>
      <c r="C208" s="810"/>
      <c r="D208" s="825" t="s">
        <v>136</v>
      </c>
      <c r="E208" s="816" t="s">
        <v>137</v>
      </c>
      <c r="F208" s="816" t="s">
        <v>138</v>
      </c>
      <c r="G208" s="816" t="s">
        <v>139</v>
      </c>
      <c r="H208" s="816" t="s">
        <v>128</v>
      </c>
      <c r="I208" s="817" t="s">
        <v>129</v>
      </c>
      <c r="J208" s="816" t="s">
        <v>130</v>
      </c>
      <c r="K208" s="816" t="s">
        <v>131</v>
      </c>
      <c r="L208" s="816" t="s">
        <v>132</v>
      </c>
      <c r="M208" s="816" t="s">
        <v>133</v>
      </c>
      <c r="N208" s="816" t="s">
        <v>134</v>
      </c>
      <c r="O208" s="818" t="s">
        <v>98</v>
      </c>
    </row>
    <row r="209" spans="1:15" ht="14.5" x14ac:dyDescent="0.35">
      <c r="A209" s="833" t="s">
        <v>99</v>
      </c>
      <c r="B209" s="828">
        <v>49810</v>
      </c>
      <c r="C209" s="810"/>
      <c r="D209" s="784">
        <v>75616</v>
      </c>
      <c r="E209" s="826">
        <v>68029</v>
      </c>
      <c r="F209" s="826">
        <v>59606</v>
      </c>
      <c r="G209" s="826">
        <v>63396</v>
      </c>
      <c r="H209" s="826">
        <v>52819.21</v>
      </c>
      <c r="I209" s="827">
        <v>53324</v>
      </c>
      <c r="J209" s="826">
        <v>61519</v>
      </c>
      <c r="K209" s="826">
        <v>70743</v>
      </c>
      <c r="L209" s="828">
        <v>55027</v>
      </c>
      <c r="M209" s="828">
        <v>54932</v>
      </c>
      <c r="N209" s="828">
        <v>43776</v>
      </c>
      <c r="O209" s="829">
        <f>AVERAGE(B209:I209)</f>
        <v>60371.458571428571</v>
      </c>
    </row>
    <row r="210" spans="1:15" ht="14.5" x14ac:dyDescent="0.35">
      <c r="A210" s="833" t="s">
        <v>37</v>
      </c>
      <c r="B210" s="828">
        <v>28946</v>
      </c>
      <c r="C210" s="810"/>
      <c r="D210" s="784">
        <v>43422</v>
      </c>
      <c r="E210" s="826">
        <v>35147</v>
      </c>
      <c r="F210" s="826">
        <v>37370</v>
      </c>
      <c r="G210" s="826">
        <v>39971</v>
      </c>
      <c r="H210" s="826">
        <v>33459.82</v>
      </c>
      <c r="I210" s="827">
        <v>39860</v>
      </c>
      <c r="J210" s="826">
        <v>41717</v>
      </c>
      <c r="K210" s="826">
        <v>40181</v>
      </c>
      <c r="L210" s="828">
        <v>41079</v>
      </c>
      <c r="M210" s="828">
        <v>39875</v>
      </c>
      <c r="N210" s="828">
        <v>35835</v>
      </c>
      <c r="O210" s="829">
        <f>AVERAGE(B210:I210)</f>
        <v>36882.26</v>
      </c>
    </row>
    <row r="211" spans="1:15" ht="14.5" x14ac:dyDescent="0.35">
      <c r="A211" s="833" t="s">
        <v>100</v>
      </c>
      <c r="B211" s="828">
        <v>15778</v>
      </c>
      <c r="C211" s="810"/>
      <c r="D211" s="825" t="s">
        <v>140</v>
      </c>
      <c r="E211" s="816"/>
      <c r="F211" s="816"/>
      <c r="G211" s="826">
        <v>3428</v>
      </c>
      <c r="H211" s="826">
        <v>13471.49</v>
      </c>
      <c r="I211" s="827">
        <v>12544</v>
      </c>
      <c r="J211" s="826">
        <v>13788</v>
      </c>
      <c r="K211" s="826">
        <v>17451</v>
      </c>
      <c r="L211" s="828">
        <v>20924</v>
      </c>
      <c r="M211" s="828">
        <v>23756</v>
      </c>
      <c r="N211" s="828">
        <v>18015</v>
      </c>
      <c r="O211" s="829">
        <f>AVERAGE(B211:I211)</f>
        <v>11305.372499999999</v>
      </c>
    </row>
    <row r="212" spans="1:15" ht="14.5" x14ac:dyDescent="0.35">
      <c r="A212" s="833" t="s">
        <v>88</v>
      </c>
      <c r="B212" s="828">
        <v>76874</v>
      </c>
      <c r="C212" s="810"/>
      <c r="D212" s="784">
        <v>51000</v>
      </c>
      <c r="E212" s="826">
        <v>41240</v>
      </c>
      <c r="F212" s="826">
        <v>47352</v>
      </c>
      <c r="G212" s="826">
        <v>49038</v>
      </c>
      <c r="H212" s="826">
        <v>21042</v>
      </c>
      <c r="I212" s="827">
        <v>35748</v>
      </c>
      <c r="J212" s="826">
        <v>44347</v>
      </c>
      <c r="K212" s="826">
        <v>72570</v>
      </c>
      <c r="L212" s="828">
        <v>89947</v>
      </c>
      <c r="M212" s="828">
        <v>99078</v>
      </c>
      <c r="N212" s="828">
        <v>75226</v>
      </c>
      <c r="O212" s="829">
        <f>AVERAGE(B212:I212)</f>
        <v>46042</v>
      </c>
    </row>
    <row r="213" spans="1:15" ht="14.5" x14ac:dyDescent="0.35">
      <c r="A213" s="834" t="s">
        <v>101</v>
      </c>
      <c r="B213" s="823">
        <v>171408</v>
      </c>
      <c r="C213" s="810"/>
      <c r="D213" s="807">
        <v>170038</v>
      </c>
      <c r="E213" s="830">
        <f t="shared" ref="E213:J213" si="4">SUM(E209:E212)</f>
        <v>144416</v>
      </c>
      <c r="F213" s="830">
        <f t="shared" si="4"/>
        <v>144328</v>
      </c>
      <c r="G213" s="830">
        <f t="shared" si="4"/>
        <v>155833</v>
      </c>
      <c r="H213" s="830">
        <f t="shared" si="4"/>
        <v>120792.52</v>
      </c>
      <c r="I213" s="830">
        <f t="shared" si="4"/>
        <v>141476</v>
      </c>
      <c r="J213" s="830">
        <f t="shared" si="4"/>
        <v>161371</v>
      </c>
      <c r="K213" s="830">
        <f>SUM(K209:K212)</f>
        <v>200945</v>
      </c>
      <c r="L213" s="823">
        <v>206977</v>
      </c>
      <c r="M213" s="823">
        <v>217641</v>
      </c>
      <c r="N213" s="823">
        <v>172852</v>
      </c>
      <c r="O213" s="830">
        <f>AVERAGE(B213:I213)</f>
        <v>149755.93142857144</v>
      </c>
    </row>
    <row r="214" spans="1:15" ht="14.5" x14ac:dyDescent="0.35"/>
    <row r="215" spans="1:15" ht="14.5" x14ac:dyDescent="0.35">
      <c r="A215" s="628"/>
      <c r="B215" s="628"/>
      <c r="C215" s="562" t="s">
        <v>141</v>
      </c>
      <c r="D215" s="542" t="s">
        <v>142</v>
      </c>
      <c r="I215" s="262"/>
      <c r="J215" s="262"/>
      <c r="M215" s="262"/>
    </row>
    <row r="216" spans="1:15" s="580" customFormat="1" ht="14.5" x14ac:dyDescent="0.35">
      <c r="A216" s="192" t="s">
        <v>18</v>
      </c>
      <c r="B216" s="193">
        <v>45627</v>
      </c>
      <c r="C216" s="831">
        <f t="shared" ref="C216:C245" si="5">C4+C43+C79+C117+C156</f>
        <v>2550</v>
      </c>
      <c r="D216" s="579">
        <f>C216</f>
        <v>2550</v>
      </c>
      <c r="I216" s="623"/>
      <c r="K216"/>
      <c r="L216"/>
    </row>
    <row r="217" spans="1:15" ht="14.5" x14ac:dyDescent="0.35">
      <c r="A217" s="192" t="s">
        <v>20</v>
      </c>
      <c r="B217" s="193">
        <v>45628</v>
      </c>
      <c r="C217" s="626">
        <f t="shared" si="5"/>
        <v>10077</v>
      </c>
      <c r="D217" s="584">
        <f>C216+C217</f>
        <v>12627</v>
      </c>
      <c r="I217" s="624"/>
    </row>
    <row r="218" spans="1:15" ht="14.5" x14ac:dyDescent="0.35">
      <c r="A218" s="192" t="s">
        <v>22</v>
      </c>
      <c r="B218" s="193">
        <v>45629</v>
      </c>
      <c r="C218" s="626">
        <f t="shared" si="5"/>
        <v>16017</v>
      </c>
      <c r="D218" s="584">
        <f t="shared" ref="D218:D245" si="6">D217+C218</f>
        <v>28644</v>
      </c>
      <c r="I218" s="624"/>
    </row>
    <row r="219" spans="1:15" ht="14.5" x14ac:dyDescent="0.35">
      <c r="A219" s="192" t="s">
        <v>24</v>
      </c>
      <c r="B219" s="193">
        <v>45630</v>
      </c>
      <c r="C219" s="626">
        <f t="shared" si="5"/>
        <v>9262</v>
      </c>
      <c r="D219" s="584">
        <f t="shared" si="6"/>
        <v>37906</v>
      </c>
      <c r="I219" s="624"/>
      <c r="K219" s="554"/>
      <c r="L219" s="555"/>
    </row>
    <row r="220" spans="1:15" ht="14.5" x14ac:dyDescent="0.35">
      <c r="A220" s="192" t="s">
        <v>10</v>
      </c>
      <c r="B220" s="193">
        <v>45631</v>
      </c>
      <c r="C220" s="626">
        <f t="shared" si="5"/>
        <v>6546</v>
      </c>
      <c r="D220" s="584">
        <f t="shared" si="6"/>
        <v>44452</v>
      </c>
      <c r="I220" s="624"/>
    </row>
    <row r="221" spans="1:15" ht="14.5" x14ac:dyDescent="0.35">
      <c r="A221" s="192" t="s">
        <v>13</v>
      </c>
      <c r="B221" s="193">
        <v>45632</v>
      </c>
      <c r="C221" s="626">
        <f t="shared" si="5"/>
        <v>8716</v>
      </c>
      <c r="D221" s="584">
        <f t="shared" si="6"/>
        <v>53168</v>
      </c>
      <c r="I221" s="624"/>
    </row>
    <row r="222" spans="1:15" ht="14.5" x14ac:dyDescent="0.35">
      <c r="A222" s="192" t="s">
        <v>16</v>
      </c>
      <c r="B222" s="193">
        <v>45633</v>
      </c>
      <c r="C222" s="626">
        <f t="shared" si="5"/>
        <v>8033</v>
      </c>
      <c r="D222" s="584">
        <f t="shared" si="6"/>
        <v>61201</v>
      </c>
      <c r="I222" s="624"/>
      <c r="J222" s="554"/>
      <c r="M222" s="554"/>
    </row>
    <row r="223" spans="1:15" ht="14.5" x14ac:dyDescent="0.35">
      <c r="A223" s="192" t="s">
        <v>18</v>
      </c>
      <c r="B223" s="193">
        <v>45634</v>
      </c>
      <c r="C223" s="831">
        <f t="shared" si="5"/>
        <v>0</v>
      </c>
      <c r="D223" s="579">
        <f t="shared" si="6"/>
        <v>61201</v>
      </c>
      <c r="I223" s="625"/>
    </row>
    <row r="224" spans="1:15" ht="14.5" x14ac:dyDescent="0.35">
      <c r="A224" s="192" t="s">
        <v>20</v>
      </c>
      <c r="B224" s="193">
        <v>45635</v>
      </c>
      <c r="C224" s="626">
        <f t="shared" si="5"/>
        <v>9265</v>
      </c>
      <c r="D224" s="584">
        <f t="shared" si="6"/>
        <v>70466</v>
      </c>
      <c r="I224" s="625"/>
    </row>
    <row r="225" spans="1:12" ht="14.5" x14ac:dyDescent="0.35">
      <c r="A225" s="192" t="s">
        <v>22</v>
      </c>
      <c r="B225" s="193">
        <v>45636</v>
      </c>
      <c r="C225" s="626">
        <f t="shared" si="5"/>
        <v>8984</v>
      </c>
      <c r="D225" s="584">
        <f t="shared" si="6"/>
        <v>79450</v>
      </c>
      <c r="I225" s="625"/>
    </row>
    <row r="226" spans="1:12" ht="14.5" x14ac:dyDescent="0.35">
      <c r="A226" s="192" t="s">
        <v>24</v>
      </c>
      <c r="B226" s="193">
        <v>45637</v>
      </c>
      <c r="C226" s="626">
        <f t="shared" si="5"/>
        <v>10266</v>
      </c>
      <c r="D226" s="584">
        <f t="shared" si="6"/>
        <v>89716</v>
      </c>
    </row>
    <row r="227" spans="1:12" ht="14.5" x14ac:dyDescent="0.35">
      <c r="A227" s="192" t="s">
        <v>10</v>
      </c>
      <c r="B227" s="193">
        <v>45638</v>
      </c>
      <c r="C227" s="626">
        <f t="shared" si="5"/>
        <v>12440</v>
      </c>
      <c r="D227" s="584">
        <f t="shared" si="6"/>
        <v>102156</v>
      </c>
      <c r="K227" s="580"/>
      <c r="L227" s="580"/>
    </row>
    <row r="228" spans="1:12" ht="14.5" x14ac:dyDescent="0.35">
      <c r="A228" s="192" t="s">
        <v>13</v>
      </c>
      <c r="B228" s="193">
        <v>45639</v>
      </c>
      <c r="C228" s="626">
        <f t="shared" si="5"/>
        <v>8198</v>
      </c>
      <c r="D228" s="584">
        <f t="shared" si="6"/>
        <v>110354</v>
      </c>
    </row>
    <row r="229" spans="1:12" ht="14.5" x14ac:dyDescent="0.35">
      <c r="A229" s="192" t="s">
        <v>16</v>
      </c>
      <c r="B229" s="193">
        <v>45640</v>
      </c>
      <c r="C229" s="626">
        <f t="shared" si="5"/>
        <v>7834</v>
      </c>
      <c r="D229" s="584">
        <f t="shared" si="6"/>
        <v>118188</v>
      </c>
    </row>
    <row r="230" spans="1:12" s="580" customFormat="1" ht="14.5" x14ac:dyDescent="0.35">
      <c r="A230" s="192" t="s">
        <v>18</v>
      </c>
      <c r="B230" s="193">
        <v>45641</v>
      </c>
      <c r="C230" s="831">
        <f t="shared" si="5"/>
        <v>0</v>
      </c>
      <c r="D230" s="579">
        <f t="shared" si="6"/>
        <v>118188</v>
      </c>
      <c r="K230"/>
      <c r="L230"/>
    </row>
    <row r="231" spans="1:12" ht="14.5" x14ac:dyDescent="0.35">
      <c r="A231" s="192" t="s">
        <v>20</v>
      </c>
      <c r="B231" s="193">
        <v>45642</v>
      </c>
      <c r="C231" s="626">
        <f t="shared" si="5"/>
        <v>17397</v>
      </c>
      <c r="D231" s="584">
        <f t="shared" si="6"/>
        <v>135585</v>
      </c>
    </row>
    <row r="232" spans="1:12" ht="14.5" x14ac:dyDescent="0.35">
      <c r="A232" s="192" t="s">
        <v>22</v>
      </c>
      <c r="B232" s="193">
        <v>45643</v>
      </c>
      <c r="C232" s="626">
        <f t="shared" si="5"/>
        <v>11393</v>
      </c>
      <c r="D232" s="584">
        <f t="shared" si="6"/>
        <v>146978</v>
      </c>
    </row>
    <row r="233" spans="1:12" ht="14.5" x14ac:dyDescent="0.35">
      <c r="A233" s="192" t="s">
        <v>24</v>
      </c>
      <c r="B233" s="193">
        <v>45644</v>
      </c>
      <c r="C233" s="626">
        <f t="shared" si="5"/>
        <v>9435</v>
      </c>
      <c r="D233" s="584">
        <f t="shared" si="6"/>
        <v>156413</v>
      </c>
    </row>
    <row r="234" spans="1:12" ht="14.5" x14ac:dyDescent="0.35">
      <c r="A234" s="192" t="s">
        <v>10</v>
      </c>
      <c r="B234" s="193">
        <v>45645</v>
      </c>
      <c r="C234" s="626">
        <f t="shared" si="5"/>
        <v>8869</v>
      </c>
      <c r="D234" s="584">
        <f t="shared" si="6"/>
        <v>165282</v>
      </c>
      <c r="K234" s="580"/>
      <c r="L234" s="580"/>
    </row>
    <row r="235" spans="1:12" ht="15" customHeight="1" x14ac:dyDescent="0.35">
      <c r="A235" s="192" t="s">
        <v>13</v>
      </c>
      <c r="B235" s="193">
        <v>45646</v>
      </c>
      <c r="C235" s="626">
        <f t="shared" si="5"/>
        <v>9970</v>
      </c>
      <c r="D235" s="584">
        <f t="shared" si="6"/>
        <v>175252</v>
      </c>
    </row>
    <row r="236" spans="1:12" ht="15" customHeight="1" x14ac:dyDescent="0.35">
      <c r="A236" s="192" t="s">
        <v>16</v>
      </c>
      <c r="B236" s="193">
        <v>45647</v>
      </c>
      <c r="C236" s="626">
        <f t="shared" si="5"/>
        <v>11539</v>
      </c>
      <c r="D236" s="584">
        <f t="shared" si="6"/>
        <v>186791</v>
      </c>
    </row>
    <row r="237" spans="1:12" s="580" customFormat="1" ht="15" customHeight="1" x14ac:dyDescent="0.35">
      <c r="A237" s="192" t="s">
        <v>18</v>
      </c>
      <c r="B237" s="193">
        <v>45648</v>
      </c>
      <c r="C237" s="831">
        <f t="shared" si="5"/>
        <v>0</v>
      </c>
      <c r="D237" s="579">
        <f t="shared" si="6"/>
        <v>186791</v>
      </c>
      <c r="K237"/>
      <c r="L237"/>
    </row>
    <row r="238" spans="1:12" ht="15" customHeight="1" x14ac:dyDescent="0.35">
      <c r="A238" s="192" t="s">
        <v>20</v>
      </c>
      <c r="B238" s="193">
        <v>45649</v>
      </c>
      <c r="C238" s="626">
        <f t="shared" si="5"/>
        <v>6929</v>
      </c>
      <c r="D238" s="584">
        <f t="shared" si="6"/>
        <v>193720</v>
      </c>
    </row>
    <row r="239" spans="1:12" ht="15" customHeight="1" x14ac:dyDescent="0.35">
      <c r="A239" s="192" t="s">
        <v>22</v>
      </c>
      <c r="B239" s="193">
        <v>45650</v>
      </c>
      <c r="C239" s="626">
        <f t="shared" si="5"/>
        <v>5625</v>
      </c>
      <c r="D239" s="584">
        <f t="shared" si="6"/>
        <v>199345</v>
      </c>
    </row>
    <row r="240" spans="1:12" ht="15" customHeight="1" x14ac:dyDescent="0.35">
      <c r="A240" s="192" t="s">
        <v>24</v>
      </c>
      <c r="B240" s="193">
        <v>45651</v>
      </c>
      <c r="C240" s="831">
        <f t="shared" si="5"/>
        <v>0</v>
      </c>
      <c r="D240" s="579">
        <f t="shared" si="6"/>
        <v>199345</v>
      </c>
    </row>
    <row r="241" spans="1:12" ht="15" customHeight="1" x14ac:dyDescent="0.35">
      <c r="A241" s="192" t="s">
        <v>10</v>
      </c>
      <c r="B241" s="193">
        <v>45652</v>
      </c>
      <c r="C241" s="626">
        <f t="shared" si="5"/>
        <v>11177</v>
      </c>
      <c r="D241" s="584">
        <f t="shared" si="6"/>
        <v>210522</v>
      </c>
      <c r="K241" s="580"/>
      <c r="L241" s="580"/>
    </row>
    <row r="242" spans="1:12" ht="15" customHeight="1" x14ac:dyDescent="0.35">
      <c r="A242" s="192" t="s">
        <v>13</v>
      </c>
      <c r="B242" s="193">
        <v>45653</v>
      </c>
      <c r="C242" s="626">
        <f t="shared" si="5"/>
        <v>10437</v>
      </c>
      <c r="D242" s="584">
        <f t="shared" si="6"/>
        <v>220959</v>
      </c>
    </row>
    <row r="243" spans="1:12" ht="15" customHeight="1" x14ac:dyDescent="0.35">
      <c r="A243" s="192" t="s">
        <v>16</v>
      </c>
      <c r="B243" s="193">
        <v>45654</v>
      </c>
      <c r="C243" s="626">
        <f t="shared" si="5"/>
        <v>11649</v>
      </c>
      <c r="D243" s="584">
        <f t="shared" si="6"/>
        <v>232608</v>
      </c>
    </row>
    <row r="244" spans="1:12" s="580" customFormat="1" ht="15" customHeight="1" x14ac:dyDescent="0.35">
      <c r="A244" s="192" t="s">
        <v>18</v>
      </c>
      <c r="B244" s="193">
        <v>45655</v>
      </c>
      <c r="C244" s="831">
        <f t="shared" si="5"/>
        <v>0</v>
      </c>
      <c r="D244" s="579">
        <f t="shared" si="6"/>
        <v>232608</v>
      </c>
      <c r="K244"/>
      <c r="L244"/>
    </row>
    <row r="245" spans="1:12" ht="15" customHeight="1" x14ac:dyDescent="0.35">
      <c r="A245" s="192" t="s">
        <v>20</v>
      </c>
      <c r="B245" s="193">
        <v>45656</v>
      </c>
      <c r="C245" s="626">
        <f t="shared" si="5"/>
        <v>10442</v>
      </c>
      <c r="D245" s="584">
        <f t="shared" si="6"/>
        <v>243050</v>
      </c>
    </row>
    <row r="246" spans="1:12" ht="15" customHeight="1" x14ac:dyDescent="0.35">
      <c r="A246" s="192" t="s">
        <v>22</v>
      </c>
      <c r="B246" s="193">
        <v>45657</v>
      </c>
      <c r="C246" s="627"/>
      <c r="D246" s="610"/>
    </row>
  </sheetData>
  <mergeCells count="16">
    <mergeCell ref="B1:F1"/>
    <mergeCell ref="B2:B3"/>
    <mergeCell ref="C2:C3"/>
    <mergeCell ref="L4:M4"/>
    <mergeCell ref="B41:B42"/>
    <mergeCell ref="C41:C42"/>
    <mergeCell ref="K117:L117"/>
    <mergeCell ref="A152:B155"/>
    <mergeCell ref="C152:E153"/>
    <mergeCell ref="C154:C155"/>
    <mergeCell ref="K43:L43"/>
    <mergeCell ref="B77:B78"/>
    <mergeCell ref="C77:C78"/>
    <mergeCell ref="K78:L78"/>
    <mergeCell ref="B115:B116"/>
    <mergeCell ref="C115:C116"/>
  </mergeCells>
  <conditionalFormatting sqref="A216:B246">
    <cfRule type="expression" dxfId="85" priority="1">
      <formula>ISODD(ROW())</formula>
    </cfRule>
  </conditionalFormatting>
  <conditionalFormatting sqref="A117:F147 G143 G144:H144 I144:J147 H145 G146:H147">
    <cfRule type="expression" dxfId="84" priority="9">
      <formula>ISEVEN(ROW())</formula>
    </cfRule>
  </conditionalFormatting>
  <conditionalFormatting sqref="A4:G4 J4:J34 A5:B34">
    <cfRule type="expression" dxfId="83" priority="8">
      <formula>ISODD(ROW())</formula>
    </cfRule>
  </conditionalFormatting>
  <conditionalFormatting sqref="A43:G43 I43:J43 G79 I79:J79 A79:F109 G105 G106:H106 I106:J109 H107 G108:H109 G117 I117:J117">
    <cfRule type="expression" dxfId="82" priority="13">
      <formula>ISEVEN(ROW())</formula>
    </cfRule>
  </conditionalFormatting>
  <conditionalFormatting sqref="A156:G186">
    <cfRule type="expression" dxfId="81" priority="6">
      <formula>ISODD(ROW())</formula>
    </cfRule>
  </conditionalFormatting>
  <conditionalFormatting sqref="A44:J73">
    <cfRule type="expression" dxfId="80" priority="4">
      <formula>ISEVEN(ROW())</formula>
    </cfRule>
  </conditionalFormatting>
  <conditionalFormatting sqref="C5:F5">
    <cfRule type="expression" dxfId="79" priority="12">
      <formula>ISEVEN(ROW())</formula>
    </cfRule>
  </conditionalFormatting>
  <conditionalFormatting sqref="C6:I34">
    <cfRule type="expression" dxfId="78" priority="11">
      <formula>ISODD(ROW())</formula>
    </cfRule>
  </conditionalFormatting>
  <conditionalFormatting sqref="G5:H5">
    <cfRule type="expression" dxfId="77" priority="14">
      <formula>ISODD(ROW())</formula>
    </cfRule>
  </conditionalFormatting>
  <conditionalFormatting sqref="G80:J104">
    <cfRule type="expression" dxfId="76" priority="3">
      <formula>ISEVEN(ROW())</formula>
    </cfRule>
  </conditionalFormatting>
  <conditionalFormatting sqref="G118:J142">
    <cfRule type="expression" dxfId="75" priority="2">
      <formula>ISEVEN(ROW())</formula>
    </cfRule>
  </conditionalFormatting>
  <conditionalFormatting sqref="I4:I5">
    <cfRule type="expression" dxfId="74" priority="5">
      <formula>ISODD(ROW())</formula>
    </cfRule>
  </conditionalFormatting>
  <conditionalFormatting sqref="M2 N3:N16 N18:N21 N27:N32 N34:N35 K37:K39 N41:N43 N49:N60 M55:M59 M65:M68 N65:N74 N77:N110 M111:M170 H152:H188">
    <cfRule type="cellIs" dxfId="73" priority="15" operator="greaterThan">
      <formula>0</formula>
    </cfRule>
    <cfRule type="cellIs" dxfId="72" priority="16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EE0A-CFCE-4287-A5EA-F10168DAE067}">
  <sheetPr>
    <tabColor theme="9" tint="0.39997558519241921"/>
  </sheetPr>
  <dimension ref="A1:O246"/>
  <sheetViews>
    <sheetView topLeftCell="A61" workbookViewId="0">
      <selection activeCell="B197" sqref="B197"/>
    </sheetView>
  </sheetViews>
  <sheetFormatPr defaultColWidth="9.1796875" defaultRowHeight="15" customHeight="1" x14ac:dyDescent="0.35"/>
  <cols>
    <col min="1" max="1" width="18.453125" customWidth="1"/>
    <col min="2" max="2" width="21" customWidth="1"/>
    <col min="3" max="3" width="16.453125" customWidth="1"/>
    <col min="4" max="4" width="16.1796875" customWidth="1"/>
    <col min="5" max="5" width="18.81640625" customWidth="1"/>
    <col min="6" max="6" width="19.54296875" customWidth="1"/>
    <col min="7" max="7" width="16.453125" customWidth="1"/>
    <col min="8" max="8" width="13" customWidth="1"/>
    <col min="9" max="9" width="12.81640625" bestFit="1" customWidth="1"/>
    <col min="10" max="10" width="15.81640625" bestFit="1" customWidth="1"/>
    <col min="11" max="11" width="17.81640625" customWidth="1"/>
    <col min="12" max="12" width="17.54296875" bestFit="1" customWidth="1"/>
    <col min="13" max="13" width="17.453125" customWidth="1"/>
    <col min="14" max="14" width="18.453125" customWidth="1"/>
    <col min="15" max="15" width="14.81640625" customWidth="1"/>
    <col min="16" max="16" width="12.54296875" customWidth="1"/>
  </cols>
  <sheetData>
    <row r="1" spans="1:15" ht="17.5" customHeight="1" thickBot="1" x14ac:dyDescent="0.5">
      <c r="A1" s="262"/>
      <c r="B1" s="930" t="s">
        <v>0</v>
      </c>
      <c r="C1" s="930"/>
      <c r="D1" s="930"/>
      <c r="E1" s="930"/>
      <c r="F1" s="930"/>
      <c r="G1" s="262"/>
      <c r="H1" s="262"/>
      <c r="I1" s="262"/>
      <c r="J1" s="262"/>
      <c r="K1" s="262"/>
      <c r="L1" s="262"/>
      <c r="M1" s="262"/>
    </row>
    <row r="2" spans="1:15" ht="15.65" customHeight="1" x14ac:dyDescent="0.4">
      <c r="A2" s="348"/>
      <c r="B2" s="926" t="s">
        <v>1</v>
      </c>
      <c r="C2" s="935" t="s">
        <v>0</v>
      </c>
      <c r="D2" s="298" t="s">
        <v>2</v>
      </c>
      <c r="E2" s="184" t="s">
        <v>3</v>
      </c>
      <c r="F2" s="496" t="s">
        <v>143</v>
      </c>
      <c r="G2" s="186" t="s">
        <v>6</v>
      </c>
      <c r="H2" s="187" t="s">
        <v>7</v>
      </c>
      <c r="I2" s="638" t="s">
        <v>608</v>
      </c>
      <c r="J2" s="639" t="s">
        <v>514</v>
      </c>
      <c r="K2" s="349"/>
      <c r="L2" s="349"/>
      <c r="M2" s="349"/>
      <c r="N2" s="349"/>
    </row>
    <row r="3" spans="1:15" ht="30.75" customHeight="1" x14ac:dyDescent="0.35">
      <c r="A3" s="497"/>
      <c r="B3" s="934"/>
      <c r="C3" s="936"/>
      <c r="D3" s="299" t="s">
        <v>0</v>
      </c>
      <c r="E3" s="498" t="s">
        <v>0</v>
      </c>
      <c r="F3" s="664" t="s">
        <v>0</v>
      </c>
      <c r="G3" s="665" t="s">
        <v>8</v>
      </c>
      <c r="H3" s="666" t="s">
        <v>9</v>
      </c>
      <c r="I3" s="629" t="s">
        <v>609</v>
      </c>
      <c r="J3" s="640" t="s">
        <v>515</v>
      </c>
      <c r="K3" s="262"/>
      <c r="L3" s="262"/>
      <c r="M3" s="262"/>
      <c r="N3" s="262"/>
      <c r="O3" s="262"/>
    </row>
    <row r="4" spans="1:15" ht="14.5" x14ac:dyDescent="0.35">
      <c r="A4" s="192" t="s">
        <v>13</v>
      </c>
      <c r="B4" s="193">
        <v>45597</v>
      </c>
      <c r="C4" s="194">
        <v>2267</v>
      </c>
      <c r="D4" s="195">
        <v>59</v>
      </c>
      <c r="E4" s="286">
        <v>0</v>
      </c>
      <c r="F4" s="673">
        <v>2</v>
      </c>
      <c r="G4" s="667" t="s">
        <v>610</v>
      </c>
      <c r="H4" s="726">
        <v>14</v>
      </c>
      <c r="I4" s="668">
        <v>0.4</v>
      </c>
      <c r="J4" s="733">
        <v>1</v>
      </c>
      <c r="K4" s="262"/>
      <c r="L4" s="923" t="s">
        <v>12</v>
      </c>
      <c r="M4" s="923"/>
      <c r="N4" s="262"/>
      <c r="O4" s="262"/>
    </row>
    <row r="5" spans="1:15" ht="14.5" x14ac:dyDescent="0.35">
      <c r="A5" s="192" t="s">
        <v>16</v>
      </c>
      <c r="B5" s="193">
        <v>45598</v>
      </c>
      <c r="C5" s="200">
        <v>2350</v>
      </c>
      <c r="D5" s="201">
        <v>55</v>
      </c>
      <c r="E5" s="557">
        <v>0</v>
      </c>
      <c r="F5" s="669">
        <v>0</v>
      </c>
      <c r="G5" s="559" t="s">
        <v>611</v>
      </c>
      <c r="H5" s="674">
        <v>22</v>
      </c>
      <c r="I5" s="630">
        <v>0.19</v>
      </c>
      <c r="J5" s="734">
        <v>0</v>
      </c>
      <c r="K5" s="262"/>
      <c r="L5" s="503" t="s">
        <v>15</v>
      </c>
      <c r="M5" s="365">
        <v>68000</v>
      </c>
      <c r="N5" s="262"/>
      <c r="O5" s="262"/>
    </row>
    <row r="6" spans="1:15" ht="14.5" x14ac:dyDescent="0.35">
      <c r="A6" s="192" t="s">
        <v>18</v>
      </c>
      <c r="B6" s="193">
        <v>45599</v>
      </c>
      <c r="C6" s="205"/>
      <c r="D6" s="206"/>
      <c r="E6" s="612"/>
      <c r="F6" s="670"/>
      <c r="G6" s="207"/>
      <c r="H6" s="675"/>
      <c r="I6" s="631"/>
      <c r="J6" s="735"/>
      <c r="K6" s="262"/>
      <c r="L6" s="504" t="s">
        <v>17</v>
      </c>
      <c r="M6" s="371">
        <v>2400</v>
      </c>
      <c r="N6" s="262"/>
      <c r="O6" s="262"/>
    </row>
    <row r="7" spans="1:15" ht="14.5" x14ac:dyDescent="0.35">
      <c r="A7" s="192" t="s">
        <v>20</v>
      </c>
      <c r="B7" s="193">
        <v>45600</v>
      </c>
      <c r="C7" s="209">
        <v>1900</v>
      </c>
      <c r="D7" s="210">
        <v>25</v>
      </c>
      <c r="E7" s="287">
        <v>0</v>
      </c>
      <c r="F7" s="671">
        <v>1</v>
      </c>
      <c r="G7" s="211" t="s">
        <v>612</v>
      </c>
      <c r="H7" s="675">
        <v>15</v>
      </c>
      <c r="I7" s="631">
        <v>0.18</v>
      </c>
      <c r="J7" s="735">
        <v>0</v>
      </c>
      <c r="K7" s="262"/>
      <c r="L7" s="505" t="s">
        <v>3</v>
      </c>
      <c r="M7" s="376">
        <v>15</v>
      </c>
      <c r="N7" s="262"/>
      <c r="O7" s="262"/>
    </row>
    <row r="8" spans="1:15" ht="14.5" x14ac:dyDescent="0.35">
      <c r="A8" s="192" t="s">
        <v>22</v>
      </c>
      <c r="B8" s="193">
        <v>45601</v>
      </c>
      <c r="C8" s="205">
        <v>2522</v>
      </c>
      <c r="D8" s="206">
        <v>50</v>
      </c>
      <c r="E8" s="612">
        <v>0</v>
      </c>
      <c r="F8" s="670">
        <v>2</v>
      </c>
      <c r="G8" s="207" t="s">
        <v>613</v>
      </c>
      <c r="H8" s="675">
        <v>14</v>
      </c>
      <c r="I8" s="631">
        <v>0.19</v>
      </c>
      <c r="J8" s="735">
        <v>1</v>
      </c>
      <c r="K8" s="262"/>
      <c r="L8" s="659" t="s">
        <v>614</v>
      </c>
      <c r="M8" s="660">
        <v>0.4</v>
      </c>
      <c r="N8" s="262"/>
      <c r="O8" s="262"/>
    </row>
    <row r="9" spans="1:15" ht="14.5" x14ac:dyDescent="0.35">
      <c r="A9" s="192" t="s">
        <v>24</v>
      </c>
      <c r="B9" s="193">
        <v>45602</v>
      </c>
      <c r="C9" s="212">
        <v>2088</v>
      </c>
      <c r="D9" s="213">
        <v>0</v>
      </c>
      <c r="E9" s="611">
        <v>1</v>
      </c>
      <c r="F9" s="672">
        <v>2</v>
      </c>
      <c r="G9" s="207" t="s">
        <v>615</v>
      </c>
      <c r="H9" s="676">
        <v>14</v>
      </c>
      <c r="I9" s="630">
        <v>0.2</v>
      </c>
      <c r="J9" s="734">
        <v>1</v>
      </c>
      <c r="K9" s="262"/>
      <c r="L9" s="722" t="s">
        <v>616</v>
      </c>
      <c r="M9" s="723">
        <v>100</v>
      </c>
      <c r="N9" s="262"/>
      <c r="O9" s="262"/>
    </row>
    <row r="10" spans="1:15" ht="14.5" x14ac:dyDescent="0.35">
      <c r="A10" s="192" t="s">
        <v>10</v>
      </c>
      <c r="B10" s="193">
        <v>45603</v>
      </c>
      <c r="C10" s="214">
        <v>1718</v>
      </c>
      <c r="D10" s="195">
        <v>25</v>
      </c>
      <c r="E10" s="615">
        <v>0</v>
      </c>
      <c r="F10" s="246">
        <v>3</v>
      </c>
      <c r="G10" s="246" t="s">
        <v>617</v>
      </c>
      <c r="H10" s="254">
        <v>19</v>
      </c>
      <c r="I10" s="643">
        <v>0.23</v>
      </c>
      <c r="J10" s="736">
        <v>2</v>
      </c>
      <c r="K10" s="262"/>
      <c r="L10" s="262"/>
      <c r="M10" s="262"/>
      <c r="N10" s="262"/>
      <c r="O10" s="262"/>
    </row>
    <row r="11" spans="1:15" ht="14.5" x14ac:dyDescent="0.35">
      <c r="A11" s="192" t="s">
        <v>13</v>
      </c>
      <c r="B11" s="193">
        <v>45604</v>
      </c>
      <c r="C11" s="217">
        <v>1330</v>
      </c>
      <c r="D11" s="218">
        <v>50</v>
      </c>
      <c r="E11" s="691">
        <v>0</v>
      </c>
      <c r="F11" s="730">
        <v>1</v>
      </c>
      <c r="G11" s="730" t="s">
        <v>618</v>
      </c>
      <c r="H11" s="729">
        <v>13</v>
      </c>
      <c r="I11" s="644">
        <v>0.21</v>
      </c>
      <c r="J11" s="737">
        <v>1</v>
      </c>
      <c r="K11" s="262"/>
      <c r="L11" s="262"/>
      <c r="M11" s="262"/>
      <c r="N11" s="262"/>
      <c r="O11" s="262"/>
    </row>
    <row r="12" spans="1:15" ht="14.5" x14ac:dyDescent="0.35">
      <c r="A12" s="192" t="s">
        <v>16</v>
      </c>
      <c r="B12" s="193">
        <v>45605</v>
      </c>
      <c r="C12" s="221">
        <v>2236</v>
      </c>
      <c r="D12" s="222">
        <v>109</v>
      </c>
      <c r="E12" s="692">
        <v>0</v>
      </c>
      <c r="F12" s="731">
        <v>2</v>
      </c>
      <c r="G12" s="731" t="s">
        <v>619</v>
      </c>
      <c r="H12" s="732">
        <v>16</v>
      </c>
      <c r="I12" s="645">
        <v>0.22</v>
      </c>
      <c r="J12" s="738">
        <v>0</v>
      </c>
      <c r="K12" s="262"/>
      <c r="L12" s="262"/>
      <c r="M12" s="262"/>
      <c r="N12" s="262"/>
      <c r="O12" s="262"/>
    </row>
    <row r="13" spans="1:15" ht="14.5" x14ac:dyDescent="0.35">
      <c r="A13" s="192" t="s">
        <v>18</v>
      </c>
      <c r="B13" s="193">
        <v>45606</v>
      </c>
      <c r="C13" s="225"/>
      <c r="D13" s="226"/>
      <c r="E13" s="227"/>
      <c r="F13" s="227"/>
      <c r="G13" s="227"/>
      <c r="H13" s="679"/>
      <c r="I13" s="646"/>
      <c r="J13" s="739"/>
      <c r="K13" s="262"/>
      <c r="L13" s="262"/>
      <c r="M13" s="262"/>
      <c r="N13" s="262"/>
      <c r="O13" s="262"/>
    </row>
    <row r="14" spans="1:15" ht="14.5" x14ac:dyDescent="0.35">
      <c r="A14" s="192" t="s">
        <v>20</v>
      </c>
      <c r="B14" s="193">
        <v>45607</v>
      </c>
      <c r="C14" s="229">
        <v>3016</v>
      </c>
      <c r="D14" s="230">
        <v>267</v>
      </c>
      <c r="E14" s="231">
        <v>0</v>
      </c>
      <c r="F14" s="231">
        <v>5</v>
      </c>
      <c r="G14" s="231" t="s">
        <v>620</v>
      </c>
      <c r="H14" s="680">
        <v>18</v>
      </c>
      <c r="I14" s="647">
        <v>0.23</v>
      </c>
      <c r="J14" s="740">
        <v>0</v>
      </c>
      <c r="K14" s="262"/>
      <c r="L14" s="262"/>
      <c r="M14" s="262"/>
      <c r="N14" s="262"/>
      <c r="O14" s="262"/>
    </row>
    <row r="15" spans="1:15" ht="14.5" x14ac:dyDescent="0.35">
      <c r="A15" s="192" t="s">
        <v>22</v>
      </c>
      <c r="B15" s="193">
        <v>45608</v>
      </c>
      <c r="C15" s="225">
        <v>2546</v>
      </c>
      <c r="D15" s="226">
        <v>49</v>
      </c>
      <c r="E15" s="227">
        <v>0</v>
      </c>
      <c r="F15" s="227">
        <v>3</v>
      </c>
      <c r="G15" s="227" t="s">
        <v>621</v>
      </c>
      <c r="H15" s="679">
        <v>17</v>
      </c>
      <c r="I15" s="633">
        <v>0.21</v>
      </c>
      <c r="J15" s="739">
        <v>1</v>
      </c>
      <c r="K15" s="262"/>
      <c r="L15" s="262"/>
      <c r="M15" s="262"/>
      <c r="N15" s="262"/>
      <c r="O15" s="262"/>
    </row>
    <row r="16" spans="1:15" ht="14.5" x14ac:dyDescent="0.35">
      <c r="A16" s="192" t="s">
        <v>24</v>
      </c>
      <c r="B16" s="193">
        <v>45609</v>
      </c>
      <c r="C16" s="233">
        <v>1798</v>
      </c>
      <c r="D16" s="234">
        <v>25</v>
      </c>
      <c r="E16" s="235">
        <v>0</v>
      </c>
      <c r="F16" s="235">
        <v>0</v>
      </c>
      <c r="G16" s="235" t="s">
        <v>622</v>
      </c>
      <c r="H16" s="681">
        <v>12</v>
      </c>
      <c r="I16" s="634">
        <v>0.21</v>
      </c>
      <c r="J16" s="741">
        <v>0</v>
      </c>
      <c r="K16" s="262"/>
      <c r="L16" s="262"/>
      <c r="M16" s="262"/>
      <c r="N16" s="262"/>
      <c r="O16" s="262"/>
    </row>
    <row r="17" spans="1:15" ht="14.5" x14ac:dyDescent="0.35">
      <c r="A17" s="192" t="s">
        <v>10</v>
      </c>
      <c r="B17" s="193">
        <v>45610</v>
      </c>
      <c r="C17" s="225">
        <v>1660</v>
      </c>
      <c r="D17" s="226">
        <v>113</v>
      </c>
      <c r="E17" s="227">
        <v>1</v>
      </c>
      <c r="F17" s="227">
        <v>2</v>
      </c>
      <c r="G17" s="227" t="s">
        <v>623</v>
      </c>
      <c r="H17" s="679">
        <v>21</v>
      </c>
      <c r="I17" s="633">
        <v>0.21</v>
      </c>
      <c r="J17" s="739">
        <v>0</v>
      </c>
      <c r="K17" s="262"/>
      <c r="L17" s="262"/>
      <c r="M17" s="262"/>
      <c r="N17" s="262"/>
      <c r="O17" s="262"/>
    </row>
    <row r="18" spans="1:15" ht="14.5" x14ac:dyDescent="0.35">
      <c r="A18" s="192" t="s">
        <v>13</v>
      </c>
      <c r="B18" s="193">
        <v>45611</v>
      </c>
      <c r="C18" s="233">
        <v>2591</v>
      </c>
      <c r="D18" s="195">
        <v>139</v>
      </c>
      <c r="E18" s="215">
        <v>0</v>
      </c>
      <c r="F18" s="215">
        <v>3</v>
      </c>
      <c r="G18" s="215" t="s">
        <v>624</v>
      </c>
      <c r="H18" s="682">
        <v>13</v>
      </c>
      <c r="I18" s="632">
        <v>0.21</v>
      </c>
      <c r="J18" s="736">
        <v>1</v>
      </c>
      <c r="K18" s="262"/>
      <c r="L18" s="262"/>
      <c r="M18" s="262"/>
      <c r="N18" s="262"/>
      <c r="O18" s="262"/>
    </row>
    <row r="19" spans="1:15" ht="14.5" x14ac:dyDescent="0.35">
      <c r="A19" s="192" t="s">
        <v>16</v>
      </c>
      <c r="B19" s="193">
        <v>45612</v>
      </c>
      <c r="C19" s="209">
        <v>3294</v>
      </c>
      <c r="D19" s="213">
        <v>55</v>
      </c>
      <c r="E19" s="203">
        <v>0</v>
      </c>
      <c r="F19" s="203">
        <v>3</v>
      </c>
      <c r="G19" s="203" t="s">
        <v>625</v>
      </c>
      <c r="H19" s="676">
        <v>17</v>
      </c>
      <c r="I19" s="630">
        <v>0.21</v>
      </c>
      <c r="J19" s="734">
        <v>0</v>
      </c>
      <c r="K19" s="262"/>
      <c r="L19" s="262"/>
      <c r="M19" s="262"/>
      <c r="N19" s="262"/>
      <c r="O19" s="262"/>
    </row>
    <row r="20" spans="1:15" ht="14.5" x14ac:dyDescent="0.35">
      <c r="A20" s="192" t="s">
        <v>18</v>
      </c>
      <c r="B20" s="193">
        <v>45613</v>
      </c>
      <c r="C20" s="233"/>
      <c r="D20" s="234"/>
      <c r="E20" s="215"/>
      <c r="F20" s="215"/>
      <c r="G20" s="235"/>
      <c r="H20" s="682"/>
      <c r="I20" s="632"/>
      <c r="J20" s="736"/>
      <c r="K20" s="262"/>
      <c r="L20" s="262"/>
      <c r="M20" s="262"/>
      <c r="N20" s="262"/>
      <c r="O20" s="262"/>
    </row>
    <row r="21" spans="1:15" ht="14.5" x14ac:dyDescent="0.35">
      <c r="A21" s="192" t="s">
        <v>20</v>
      </c>
      <c r="B21" s="193">
        <v>45614</v>
      </c>
      <c r="C21" s="237">
        <v>3133</v>
      </c>
      <c r="D21" s="238">
        <v>58</v>
      </c>
      <c r="E21" s="239">
        <v>1</v>
      </c>
      <c r="F21" s="239">
        <v>2</v>
      </c>
      <c r="G21" s="239" t="s">
        <v>626</v>
      </c>
      <c r="H21" s="683">
        <v>19</v>
      </c>
      <c r="I21" s="635">
        <v>0.19</v>
      </c>
      <c r="J21" s="742">
        <v>0</v>
      </c>
      <c r="K21" s="262"/>
      <c r="L21" s="262"/>
      <c r="M21" s="262"/>
      <c r="N21" s="262"/>
      <c r="O21" s="262"/>
    </row>
    <row r="22" spans="1:15" ht="14.5" x14ac:dyDescent="0.35">
      <c r="A22" s="192" t="s">
        <v>22</v>
      </c>
      <c r="B22" s="193">
        <v>45615</v>
      </c>
      <c r="C22" s="214">
        <v>1875</v>
      </c>
      <c r="D22" s="195">
        <v>50</v>
      </c>
      <c r="E22" s="215">
        <v>0</v>
      </c>
      <c r="F22" s="215">
        <v>6</v>
      </c>
      <c r="G22" s="215" t="s">
        <v>627</v>
      </c>
      <c r="H22" s="682">
        <v>19</v>
      </c>
      <c r="I22" s="632">
        <v>0.21</v>
      </c>
      <c r="J22" s="736">
        <v>0</v>
      </c>
      <c r="K22" s="262"/>
      <c r="L22" s="262"/>
      <c r="M22" s="262"/>
      <c r="N22" s="262"/>
      <c r="O22" s="262"/>
    </row>
    <row r="23" spans="1:15" ht="14.5" x14ac:dyDescent="0.35">
      <c r="A23" s="192" t="s">
        <v>24</v>
      </c>
      <c r="B23" s="193">
        <v>45616</v>
      </c>
      <c r="C23" s="237">
        <v>1203</v>
      </c>
      <c r="D23" s="238">
        <v>75</v>
      </c>
      <c r="E23" s="239">
        <v>0</v>
      </c>
      <c r="F23" s="239">
        <v>2</v>
      </c>
      <c r="G23" s="215" t="s">
        <v>628</v>
      </c>
      <c r="H23" s="683">
        <v>16</v>
      </c>
      <c r="I23" s="635">
        <v>0.21</v>
      </c>
      <c r="J23" s="742">
        <v>0</v>
      </c>
      <c r="K23" s="262"/>
      <c r="L23" s="262"/>
      <c r="M23" s="262"/>
      <c r="N23" s="262"/>
      <c r="O23" s="262"/>
    </row>
    <row r="24" spans="1:15" ht="14.5" x14ac:dyDescent="0.35">
      <c r="A24" s="192" t="s">
        <v>10</v>
      </c>
      <c r="B24" s="193">
        <v>45617</v>
      </c>
      <c r="C24" s="205">
        <v>1990</v>
      </c>
      <c r="D24" s="206">
        <v>59</v>
      </c>
      <c r="E24" s="207">
        <v>1</v>
      </c>
      <c r="F24" s="207">
        <v>3</v>
      </c>
      <c r="G24" s="207" t="s">
        <v>629</v>
      </c>
      <c r="H24" s="675">
        <v>14</v>
      </c>
      <c r="I24" s="631">
        <v>0.21</v>
      </c>
      <c r="J24" s="735">
        <v>0</v>
      </c>
      <c r="K24" s="262"/>
      <c r="L24" s="262"/>
      <c r="M24" s="262"/>
      <c r="N24" s="262"/>
      <c r="O24" s="262"/>
    </row>
    <row r="25" spans="1:15" ht="14.5" x14ac:dyDescent="0.35">
      <c r="A25" s="192" t="s">
        <v>13</v>
      </c>
      <c r="B25" s="193">
        <v>45618</v>
      </c>
      <c r="C25" s="209">
        <v>3208</v>
      </c>
      <c r="D25" s="210">
        <v>192</v>
      </c>
      <c r="E25" s="211">
        <v>1</v>
      </c>
      <c r="F25" s="211">
        <v>3</v>
      </c>
      <c r="G25" s="211" t="s">
        <v>630</v>
      </c>
      <c r="H25" s="684">
        <v>22</v>
      </c>
      <c r="I25" s="636">
        <v>0.23</v>
      </c>
      <c r="J25" s="743">
        <v>1</v>
      </c>
      <c r="K25" s="262"/>
      <c r="L25" s="262"/>
      <c r="M25" s="262"/>
      <c r="N25" s="262"/>
      <c r="O25" s="262"/>
    </row>
    <row r="26" spans="1:15" ht="14.5" x14ac:dyDescent="0.35">
      <c r="A26" s="192" t="s">
        <v>16</v>
      </c>
      <c r="B26" s="193">
        <v>45619</v>
      </c>
      <c r="C26" s="233">
        <v>3634</v>
      </c>
      <c r="D26" s="234">
        <v>0</v>
      </c>
      <c r="E26" s="235">
        <v>0</v>
      </c>
      <c r="F26" s="235">
        <v>4</v>
      </c>
      <c r="G26" s="235" t="s">
        <v>631</v>
      </c>
      <c r="H26" s="681">
        <v>20</v>
      </c>
      <c r="I26" s="634">
        <v>0.23</v>
      </c>
      <c r="J26" s="741">
        <v>0</v>
      </c>
      <c r="K26" s="262"/>
      <c r="L26" s="262"/>
      <c r="M26" s="262"/>
      <c r="N26" s="262"/>
      <c r="O26" s="262"/>
    </row>
    <row r="27" spans="1:15" ht="14.5" x14ac:dyDescent="0.35">
      <c r="A27" s="192" t="s">
        <v>18</v>
      </c>
      <c r="B27" s="193">
        <v>45620</v>
      </c>
      <c r="C27" s="237"/>
      <c r="D27" s="238"/>
      <c r="E27" s="239"/>
      <c r="F27" s="239"/>
      <c r="G27" s="239"/>
      <c r="H27" s="683"/>
      <c r="I27" s="635"/>
      <c r="J27" s="742"/>
      <c r="K27" s="262"/>
      <c r="L27" s="262"/>
      <c r="M27" s="262"/>
      <c r="N27" s="262"/>
      <c r="O27" s="262"/>
    </row>
    <row r="28" spans="1:15" ht="14.5" x14ac:dyDescent="0.35">
      <c r="A28" s="192" t="s">
        <v>20</v>
      </c>
      <c r="B28" s="193">
        <v>45621</v>
      </c>
      <c r="C28" s="233">
        <v>2800</v>
      </c>
      <c r="D28" s="234">
        <v>58</v>
      </c>
      <c r="E28" s="235">
        <v>1</v>
      </c>
      <c r="F28" s="235">
        <v>2</v>
      </c>
      <c r="G28" s="235" t="s">
        <v>632</v>
      </c>
      <c r="H28" s="681">
        <v>31</v>
      </c>
      <c r="I28" s="634">
        <v>0.23</v>
      </c>
      <c r="J28" s="741">
        <v>1</v>
      </c>
      <c r="K28" s="262"/>
      <c r="L28" s="262"/>
      <c r="M28" s="262"/>
      <c r="N28" s="262"/>
      <c r="O28" s="262"/>
    </row>
    <row r="29" spans="1:15" ht="14.5" x14ac:dyDescent="0.35">
      <c r="A29" s="192" t="s">
        <v>22</v>
      </c>
      <c r="B29" s="193">
        <v>45622</v>
      </c>
      <c r="C29" s="209">
        <v>1448</v>
      </c>
      <c r="D29" s="242">
        <v>88</v>
      </c>
      <c r="E29" s="243">
        <v>0</v>
      </c>
      <c r="F29" s="244">
        <v>5</v>
      </c>
      <c r="G29" s="211" t="s">
        <v>633</v>
      </c>
      <c r="H29" s="684">
        <v>25</v>
      </c>
      <c r="I29" s="636">
        <v>0.23</v>
      </c>
      <c r="J29" s="743">
        <v>0</v>
      </c>
      <c r="K29" s="262"/>
      <c r="L29" s="262"/>
      <c r="M29" s="262"/>
      <c r="N29" s="262"/>
      <c r="O29" s="262"/>
    </row>
    <row r="30" spans="1:15" ht="14.5" x14ac:dyDescent="0.35">
      <c r="A30" s="192" t="s">
        <v>24</v>
      </c>
      <c r="B30" s="193">
        <v>45623</v>
      </c>
      <c r="C30" s="214">
        <v>1378</v>
      </c>
      <c r="D30" s="245">
        <v>25</v>
      </c>
      <c r="E30" s="246">
        <v>0</v>
      </c>
      <c r="F30" s="247">
        <v>1</v>
      </c>
      <c r="G30" s="246" t="s">
        <v>634</v>
      </c>
      <c r="H30" s="246">
        <v>13</v>
      </c>
      <c r="I30" s="632">
        <v>0.24</v>
      </c>
      <c r="J30" s="736">
        <v>0</v>
      </c>
      <c r="K30" s="262"/>
      <c r="L30" s="262"/>
      <c r="M30" s="508"/>
      <c r="N30" s="262"/>
      <c r="O30" s="262"/>
    </row>
    <row r="31" spans="1:15" ht="14.5" x14ac:dyDescent="0.35">
      <c r="A31" s="192" t="s">
        <v>10</v>
      </c>
      <c r="B31" s="193">
        <v>45624</v>
      </c>
      <c r="C31" s="214"/>
      <c r="D31" s="249"/>
      <c r="E31" s="246"/>
      <c r="F31" s="247"/>
      <c r="G31" s="250"/>
      <c r="H31" s="682"/>
      <c r="I31" s="632"/>
      <c r="J31" s="736"/>
      <c r="K31" s="262"/>
      <c r="L31" s="262"/>
      <c r="M31" s="508"/>
      <c r="N31" s="262"/>
      <c r="O31" s="262"/>
    </row>
    <row r="32" spans="1:15" ht="14.5" x14ac:dyDescent="0.35">
      <c r="A32" s="192" t="s">
        <v>13</v>
      </c>
      <c r="B32" s="193">
        <v>45625</v>
      </c>
      <c r="C32" s="214">
        <v>1034</v>
      </c>
      <c r="D32" s="249">
        <v>146</v>
      </c>
      <c r="E32" s="246">
        <v>0</v>
      </c>
      <c r="F32" s="247">
        <v>2</v>
      </c>
      <c r="G32" s="250" t="s">
        <v>635</v>
      </c>
      <c r="H32" s="682">
        <v>17</v>
      </c>
      <c r="I32" s="632">
        <v>0.24</v>
      </c>
      <c r="J32" s="736">
        <v>0</v>
      </c>
      <c r="K32" s="262"/>
      <c r="L32" s="262"/>
      <c r="M32" s="508"/>
      <c r="N32" s="262"/>
      <c r="O32" s="262"/>
    </row>
    <row r="33" spans="1:15" ht="14.5" x14ac:dyDescent="0.35">
      <c r="A33" s="192" t="s">
        <v>16</v>
      </c>
      <c r="B33" s="193">
        <v>45626</v>
      </c>
      <c r="C33" s="252">
        <v>893</v>
      </c>
      <c r="D33" s="253">
        <v>104</v>
      </c>
      <c r="E33" s="246">
        <v>0</v>
      </c>
      <c r="F33" s="254">
        <v>4</v>
      </c>
      <c r="G33" s="250" t="s">
        <v>636</v>
      </c>
      <c r="H33" s="682">
        <v>15</v>
      </c>
      <c r="I33" s="632">
        <v>0.23</v>
      </c>
      <c r="J33" s="736">
        <v>0</v>
      </c>
      <c r="K33" s="262"/>
      <c r="L33" s="262"/>
      <c r="M33" s="262"/>
      <c r="N33" s="262"/>
      <c r="O33" s="262"/>
    </row>
    <row r="34" spans="1:15" thickBot="1" x14ac:dyDescent="0.4">
      <c r="A34" s="192"/>
      <c r="B34" s="193"/>
      <c r="C34" s="252"/>
      <c r="D34" s="252"/>
      <c r="E34" s="246"/>
      <c r="F34" s="246"/>
      <c r="G34" s="246" t="s">
        <v>516</v>
      </c>
      <c r="H34" s="685"/>
      <c r="I34" s="632"/>
      <c r="J34" s="736"/>
      <c r="K34" s="262"/>
      <c r="L34" s="262"/>
      <c r="M34" s="508"/>
      <c r="N34" s="262"/>
      <c r="O34" s="262"/>
    </row>
    <row r="35" spans="1:15" thickBot="1" x14ac:dyDescent="0.4">
      <c r="A35" s="257"/>
      <c r="B35" s="651"/>
      <c r="C35" s="653">
        <f t="shared" ref="C35:H35" si="0">SUM(C4:C34)</f>
        <v>53912</v>
      </c>
      <c r="D35" s="654">
        <f t="shared" si="0"/>
        <v>1876</v>
      </c>
      <c r="E35" s="655">
        <f t="shared" si="0"/>
        <v>6</v>
      </c>
      <c r="F35" s="655">
        <f t="shared" si="0"/>
        <v>63</v>
      </c>
      <c r="G35" s="655">
        <f>SUM(G4:G34)</f>
        <v>0</v>
      </c>
      <c r="H35" s="656">
        <f t="shared" si="0"/>
        <v>436</v>
      </c>
      <c r="I35" s="657"/>
      <c r="J35" s="658">
        <f>SUM(J4:J34)</f>
        <v>10</v>
      </c>
      <c r="K35" s="262"/>
      <c r="L35" s="262"/>
      <c r="M35" s="262"/>
      <c r="N35" s="262"/>
      <c r="O35" s="262"/>
    </row>
    <row r="36" spans="1:15" ht="14.5" x14ac:dyDescent="0.35">
      <c r="A36" s="262"/>
      <c r="B36" s="474"/>
      <c r="C36" s="509"/>
      <c r="D36" s="510"/>
      <c r="E36" s="475"/>
      <c r="F36" s="652"/>
      <c r="G36" s="262"/>
      <c r="H36" s="262"/>
      <c r="I36" s="262"/>
      <c r="J36" s="262"/>
      <c r="K36" s="262"/>
      <c r="L36" s="262"/>
      <c r="M36" s="262"/>
    </row>
    <row r="37" spans="1:15" ht="14.5" x14ac:dyDescent="0.35">
      <c r="A37" s="262"/>
      <c r="B37" s="474"/>
      <c r="C37" s="508"/>
      <c r="D37" s="508"/>
      <c r="E37" s="475"/>
      <c r="F37" s="511"/>
      <c r="G37" s="262"/>
      <c r="H37" s="262"/>
      <c r="I37" s="262"/>
      <c r="J37" s="262"/>
      <c r="K37" s="262"/>
      <c r="L37" s="262"/>
      <c r="M37" s="262"/>
    </row>
    <row r="38" spans="1:15" ht="14.5" x14ac:dyDescent="0.35">
      <c r="A38" s="262"/>
      <c r="B38" s="474"/>
      <c r="C38" s="475"/>
      <c r="D38" s="508"/>
      <c r="E38" s="475"/>
      <c r="F38" s="511"/>
      <c r="G38" s="262"/>
      <c r="H38" s="262"/>
      <c r="I38" s="262"/>
      <c r="J38" s="262"/>
      <c r="K38" s="262"/>
      <c r="L38" s="262"/>
      <c r="M38" s="262"/>
    </row>
    <row r="39" spans="1:15" ht="14.5" x14ac:dyDescent="0.35">
      <c r="A39" s="262"/>
      <c r="B39" s="474"/>
      <c r="C39" s="508"/>
      <c r="D39" s="508"/>
      <c r="E39" s="508"/>
      <c r="F39" s="262"/>
      <c r="G39" s="262"/>
      <c r="H39" s="262"/>
      <c r="I39" s="262"/>
      <c r="J39" s="262"/>
      <c r="K39" s="262"/>
      <c r="L39" s="262"/>
      <c r="M39" s="262"/>
    </row>
    <row r="40" spans="1:15" ht="19" thickBot="1" x14ac:dyDescent="0.5">
      <c r="A40" s="262"/>
      <c r="B40" s="474"/>
      <c r="C40" s="508"/>
      <c r="D40" s="512"/>
      <c r="E40" s="508"/>
      <c r="F40" s="262"/>
      <c r="G40" s="262"/>
      <c r="H40" s="262"/>
      <c r="I40" s="262"/>
      <c r="J40" s="262"/>
      <c r="K40" s="262"/>
      <c r="L40" s="262"/>
      <c r="M40" s="262"/>
    </row>
    <row r="41" spans="1:15" ht="15.65" customHeight="1" x14ac:dyDescent="0.4">
      <c r="A41" s="348"/>
      <c r="B41" s="931" t="s">
        <v>37</v>
      </c>
      <c r="C41" s="935" t="s">
        <v>0</v>
      </c>
      <c r="D41" s="298" t="s">
        <v>2</v>
      </c>
      <c r="E41" s="184" t="s">
        <v>3</v>
      </c>
      <c r="F41" s="185" t="s">
        <v>143</v>
      </c>
      <c r="G41" s="186" t="s">
        <v>6</v>
      </c>
      <c r="H41" s="187" t="s">
        <v>7</v>
      </c>
      <c r="I41" s="587" t="s">
        <v>608</v>
      </c>
      <c r="J41" s="637" t="s">
        <v>514</v>
      </c>
      <c r="M41" s="349"/>
      <c r="N41" s="349"/>
    </row>
    <row r="42" spans="1:15" ht="29.25" customHeight="1" x14ac:dyDescent="0.35">
      <c r="A42" s="497"/>
      <c r="B42" s="937"/>
      <c r="C42" s="936"/>
      <c r="D42" s="299" t="s">
        <v>0</v>
      </c>
      <c r="E42" s="188" t="s">
        <v>0</v>
      </c>
      <c r="F42" s="664" t="s">
        <v>0</v>
      </c>
      <c r="G42" s="665" t="s">
        <v>8</v>
      </c>
      <c r="H42" s="666" t="s">
        <v>9</v>
      </c>
      <c r="I42" s="629" t="s">
        <v>609</v>
      </c>
      <c r="J42" s="663" t="s">
        <v>515</v>
      </c>
      <c r="M42" s="262"/>
      <c r="N42" s="262"/>
    </row>
    <row r="43" spans="1:15" ht="14.5" x14ac:dyDescent="0.35">
      <c r="A43" s="192" t="s">
        <v>13</v>
      </c>
      <c r="B43" s="193">
        <v>45597</v>
      </c>
      <c r="C43" s="194">
        <v>2222</v>
      </c>
      <c r="D43" s="195">
        <v>65</v>
      </c>
      <c r="E43" s="286">
        <v>0</v>
      </c>
      <c r="F43" s="516">
        <v>0</v>
      </c>
      <c r="G43" s="688" t="s">
        <v>637</v>
      </c>
      <c r="H43" s="727">
        <v>13</v>
      </c>
      <c r="I43" s="724">
        <v>0</v>
      </c>
      <c r="J43" s="744">
        <v>0</v>
      </c>
      <c r="K43" s="923" t="s">
        <v>12</v>
      </c>
      <c r="L43" s="923"/>
      <c r="M43" s="262"/>
      <c r="N43" s="262"/>
    </row>
    <row r="44" spans="1:15" ht="14.5" x14ac:dyDescent="0.35">
      <c r="A44" s="192" t="s">
        <v>16</v>
      </c>
      <c r="B44" s="193">
        <v>45598</v>
      </c>
      <c r="C44" s="212">
        <v>1816</v>
      </c>
      <c r="D44" s="213">
        <v>200</v>
      </c>
      <c r="E44" s="203">
        <v>0</v>
      </c>
      <c r="F44" s="611">
        <v>6</v>
      </c>
      <c r="G44" s="618" t="s">
        <v>638</v>
      </c>
      <c r="H44" s="690">
        <v>18</v>
      </c>
      <c r="I44" s="641">
        <v>0.31</v>
      </c>
      <c r="J44" s="745">
        <v>1</v>
      </c>
      <c r="K44" s="513" t="s">
        <v>15</v>
      </c>
      <c r="L44" s="409">
        <v>52000</v>
      </c>
      <c r="M44" s="262"/>
      <c r="N44" s="262"/>
    </row>
    <row r="45" spans="1:15" ht="14.5" x14ac:dyDescent="0.35">
      <c r="A45" s="192" t="s">
        <v>18</v>
      </c>
      <c r="B45" s="193">
        <v>45599</v>
      </c>
      <c r="C45" s="205"/>
      <c r="D45" s="206"/>
      <c r="E45" s="207"/>
      <c r="F45" s="612"/>
      <c r="G45" s="619"/>
      <c r="H45" s="507"/>
      <c r="I45" s="619"/>
      <c r="J45" s="746"/>
      <c r="K45" s="504" t="s">
        <v>17</v>
      </c>
      <c r="L45" s="411">
        <v>2600</v>
      </c>
      <c r="M45" s="262"/>
      <c r="N45" s="262"/>
    </row>
    <row r="46" spans="1:15" ht="14.5" x14ac:dyDescent="0.35">
      <c r="A46" s="192" t="s">
        <v>20</v>
      </c>
      <c r="B46" s="193">
        <v>45600</v>
      </c>
      <c r="C46" s="209">
        <v>2130</v>
      </c>
      <c r="D46" s="210">
        <v>250</v>
      </c>
      <c r="E46" s="211">
        <v>1</v>
      </c>
      <c r="F46" s="287">
        <v>1</v>
      </c>
      <c r="G46" s="243" t="s">
        <v>639</v>
      </c>
      <c r="H46" s="279">
        <v>15</v>
      </c>
      <c r="I46" s="650">
        <v>0.28999999999999998</v>
      </c>
      <c r="J46" s="747">
        <v>2</v>
      </c>
      <c r="K46" s="515" t="s">
        <v>3</v>
      </c>
      <c r="L46" s="413">
        <v>15</v>
      </c>
      <c r="M46" s="262"/>
      <c r="N46" s="262"/>
    </row>
    <row r="47" spans="1:15" ht="14.5" x14ac:dyDescent="0.35">
      <c r="A47" s="192" t="s">
        <v>22</v>
      </c>
      <c r="B47" s="193">
        <v>45601</v>
      </c>
      <c r="C47" s="205">
        <v>2065</v>
      </c>
      <c r="D47" s="206">
        <v>350</v>
      </c>
      <c r="E47" s="207">
        <v>0</v>
      </c>
      <c r="F47" s="612">
        <v>2</v>
      </c>
      <c r="G47" s="619" t="s">
        <v>640</v>
      </c>
      <c r="H47" s="507">
        <v>11</v>
      </c>
      <c r="I47" s="642">
        <v>0.36</v>
      </c>
      <c r="J47" s="746">
        <v>7</v>
      </c>
      <c r="K47" s="591" t="s">
        <v>614</v>
      </c>
      <c r="L47" s="592">
        <v>0.4</v>
      </c>
      <c r="M47" s="262"/>
      <c r="N47" s="262"/>
    </row>
    <row r="48" spans="1:15" ht="14.5" x14ac:dyDescent="0.35">
      <c r="A48" s="192" t="s">
        <v>24</v>
      </c>
      <c r="B48" s="193">
        <v>45602</v>
      </c>
      <c r="C48" s="212">
        <v>2739</v>
      </c>
      <c r="D48" s="213">
        <v>50</v>
      </c>
      <c r="E48" s="203">
        <v>0</v>
      </c>
      <c r="F48" s="611">
        <v>1</v>
      </c>
      <c r="G48" s="619" t="s">
        <v>641</v>
      </c>
      <c r="H48" s="690">
        <v>11</v>
      </c>
      <c r="I48" s="641">
        <v>0.38</v>
      </c>
      <c r="J48" s="745">
        <v>1</v>
      </c>
      <c r="K48" s="661" t="s">
        <v>616</v>
      </c>
      <c r="L48" s="662">
        <v>75</v>
      </c>
      <c r="M48" s="262"/>
      <c r="N48" s="262"/>
    </row>
    <row r="49" spans="1:14" ht="14.5" x14ac:dyDescent="0.35">
      <c r="A49" s="192" t="s">
        <v>10</v>
      </c>
      <c r="B49" s="193">
        <v>45603</v>
      </c>
      <c r="C49" s="214">
        <v>1740</v>
      </c>
      <c r="D49" s="195">
        <v>25</v>
      </c>
      <c r="E49" s="215">
        <v>0</v>
      </c>
      <c r="F49" s="615">
        <v>0</v>
      </c>
      <c r="G49" s="246" t="s">
        <v>642</v>
      </c>
      <c r="H49" s="247">
        <v>10</v>
      </c>
      <c r="I49" s="643">
        <v>0.33</v>
      </c>
      <c r="J49" s="748">
        <v>0</v>
      </c>
      <c r="K49" s="262"/>
      <c r="L49" s="262"/>
      <c r="M49" s="262"/>
      <c r="N49" s="262"/>
    </row>
    <row r="50" spans="1:14" ht="14.5" x14ac:dyDescent="0.35">
      <c r="A50" s="192" t="s">
        <v>13</v>
      </c>
      <c r="B50" s="193">
        <v>45604</v>
      </c>
      <c r="C50" s="217">
        <v>952</v>
      </c>
      <c r="D50" s="218">
        <v>25</v>
      </c>
      <c r="E50" s="219">
        <v>0</v>
      </c>
      <c r="F50" s="219">
        <v>1</v>
      </c>
      <c r="G50" s="300" t="s">
        <v>642</v>
      </c>
      <c r="H50" s="691">
        <v>13</v>
      </c>
      <c r="I50" s="644">
        <v>0.3</v>
      </c>
      <c r="J50" s="749">
        <v>0</v>
      </c>
      <c r="K50" s="262"/>
      <c r="L50" s="262"/>
      <c r="M50" s="262"/>
      <c r="N50" s="262"/>
    </row>
    <row r="51" spans="1:14" ht="14.5" x14ac:dyDescent="0.35">
      <c r="A51" s="192" t="s">
        <v>16</v>
      </c>
      <c r="B51" s="193">
        <v>45605</v>
      </c>
      <c r="C51" s="221">
        <v>1785</v>
      </c>
      <c r="D51" s="222">
        <v>85</v>
      </c>
      <c r="E51" s="223">
        <v>0</v>
      </c>
      <c r="F51" s="223">
        <v>4</v>
      </c>
      <c r="G51" s="223" t="s">
        <v>643</v>
      </c>
      <c r="H51" s="692">
        <v>14</v>
      </c>
      <c r="I51" s="645">
        <v>0.4</v>
      </c>
      <c r="J51" s="750">
        <v>0</v>
      </c>
      <c r="K51" s="262"/>
      <c r="L51" s="262"/>
      <c r="M51" s="262"/>
      <c r="N51" s="262"/>
    </row>
    <row r="52" spans="1:14" ht="14.5" x14ac:dyDescent="0.35">
      <c r="A52" s="192" t="s">
        <v>18</v>
      </c>
      <c r="B52" s="193">
        <v>45606</v>
      </c>
      <c r="C52" s="225"/>
      <c r="D52" s="226"/>
      <c r="E52" s="227"/>
      <c r="F52" s="227"/>
      <c r="G52" s="227"/>
      <c r="H52" s="693"/>
      <c r="I52" s="646"/>
      <c r="J52" s="751">
        <v>1</v>
      </c>
      <c r="K52" s="262"/>
      <c r="L52" s="262"/>
      <c r="M52" s="262"/>
      <c r="N52" s="262"/>
    </row>
    <row r="53" spans="1:14" ht="14.5" x14ac:dyDescent="0.35">
      <c r="A53" s="192" t="s">
        <v>20</v>
      </c>
      <c r="B53" s="193">
        <v>45607</v>
      </c>
      <c r="C53" s="229">
        <v>1110</v>
      </c>
      <c r="D53" s="230">
        <v>110</v>
      </c>
      <c r="E53" s="231">
        <v>0</v>
      </c>
      <c r="F53" s="231">
        <v>4</v>
      </c>
      <c r="G53" s="231" t="s">
        <v>644</v>
      </c>
      <c r="H53" s="694">
        <v>7</v>
      </c>
      <c r="I53" s="647">
        <v>0.39</v>
      </c>
      <c r="J53" s="752">
        <v>2</v>
      </c>
      <c r="K53" s="262"/>
      <c r="L53" s="262"/>
      <c r="M53" s="262"/>
      <c r="N53" s="262"/>
    </row>
    <row r="54" spans="1:14" ht="14.5" x14ac:dyDescent="0.35">
      <c r="A54" s="192" t="s">
        <v>22</v>
      </c>
      <c r="B54" s="193">
        <v>45608</v>
      </c>
      <c r="C54" s="225">
        <v>1041</v>
      </c>
      <c r="D54" s="226">
        <v>0</v>
      </c>
      <c r="E54" s="227">
        <v>1</v>
      </c>
      <c r="F54" s="227">
        <v>2</v>
      </c>
      <c r="G54" s="227" t="s">
        <v>645</v>
      </c>
      <c r="H54" s="693">
        <v>9</v>
      </c>
      <c r="I54" s="646">
        <v>0.38</v>
      </c>
      <c r="J54" s="751">
        <v>0</v>
      </c>
      <c r="K54" s="262"/>
      <c r="L54" s="262"/>
      <c r="M54" s="262"/>
      <c r="N54" s="262"/>
    </row>
    <row r="55" spans="1:14" ht="14.5" x14ac:dyDescent="0.35">
      <c r="A55" s="192" t="s">
        <v>24</v>
      </c>
      <c r="B55" s="193">
        <v>45609</v>
      </c>
      <c r="C55" s="233">
        <v>1006</v>
      </c>
      <c r="D55" s="234">
        <v>0</v>
      </c>
      <c r="E55" s="235">
        <v>0</v>
      </c>
      <c r="F55" s="235">
        <v>0</v>
      </c>
      <c r="G55" s="235" t="s">
        <v>646</v>
      </c>
      <c r="H55" s="481">
        <v>6</v>
      </c>
      <c r="I55" s="648">
        <v>0.36</v>
      </c>
      <c r="J55" s="753">
        <v>0</v>
      </c>
      <c r="K55" s="262"/>
      <c r="L55" s="262"/>
      <c r="M55" s="262"/>
      <c r="N55" s="262"/>
    </row>
    <row r="56" spans="1:14" ht="14.5" x14ac:dyDescent="0.35">
      <c r="A56" s="192" t="s">
        <v>10</v>
      </c>
      <c r="B56" s="193">
        <v>45610</v>
      </c>
      <c r="C56" s="225">
        <v>1095</v>
      </c>
      <c r="D56" s="226">
        <v>25</v>
      </c>
      <c r="E56" s="227">
        <v>0</v>
      </c>
      <c r="F56" s="227">
        <v>3</v>
      </c>
      <c r="G56" s="227" t="s">
        <v>647</v>
      </c>
      <c r="H56" s="693">
        <v>8</v>
      </c>
      <c r="I56" s="646">
        <v>0.33</v>
      </c>
      <c r="J56" s="751">
        <v>0</v>
      </c>
      <c r="K56" s="262"/>
      <c r="L56" s="262"/>
      <c r="M56" s="262"/>
      <c r="N56" s="262"/>
    </row>
    <row r="57" spans="1:14" ht="14.5" x14ac:dyDescent="0.35">
      <c r="A57" s="192" t="s">
        <v>13</v>
      </c>
      <c r="B57" s="193">
        <v>45611</v>
      </c>
      <c r="C57" s="233">
        <v>1353</v>
      </c>
      <c r="D57" s="195">
        <v>250</v>
      </c>
      <c r="E57" s="215">
        <v>0</v>
      </c>
      <c r="F57" s="215">
        <v>5</v>
      </c>
      <c r="G57" s="215" t="s">
        <v>648</v>
      </c>
      <c r="H57" s="615">
        <v>8</v>
      </c>
      <c r="I57" s="643">
        <v>0.33</v>
      </c>
      <c r="J57" s="748">
        <v>0</v>
      </c>
      <c r="K57" s="262"/>
      <c r="L57" s="262"/>
      <c r="M57" s="262"/>
      <c r="N57" s="262"/>
    </row>
    <row r="58" spans="1:14" ht="14.5" x14ac:dyDescent="0.35">
      <c r="A58" s="192" t="s">
        <v>16</v>
      </c>
      <c r="B58" s="193">
        <v>45612</v>
      </c>
      <c r="C58" s="209">
        <v>2133</v>
      </c>
      <c r="D58" s="213">
        <v>410</v>
      </c>
      <c r="E58" s="203">
        <v>0</v>
      </c>
      <c r="F58" s="203">
        <v>8</v>
      </c>
      <c r="G58" s="203" t="s">
        <v>313</v>
      </c>
      <c r="H58" s="611">
        <v>18</v>
      </c>
      <c r="I58" s="641">
        <v>0.38</v>
      </c>
      <c r="J58" s="745">
        <v>2</v>
      </c>
      <c r="K58" s="262"/>
      <c r="L58" s="262"/>
      <c r="M58" s="262"/>
      <c r="N58" s="262"/>
    </row>
    <row r="59" spans="1:14" ht="14.5" x14ac:dyDescent="0.35">
      <c r="A59" s="192" t="s">
        <v>18</v>
      </c>
      <c r="B59" s="193">
        <v>45613</v>
      </c>
      <c r="C59" s="233"/>
      <c r="D59" s="234"/>
      <c r="E59" s="215"/>
      <c r="F59" s="215"/>
      <c r="G59" s="235"/>
      <c r="H59" s="615"/>
      <c r="I59" s="643"/>
      <c r="J59" s="748"/>
      <c r="K59" s="262"/>
      <c r="L59" s="262"/>
      <c r="M59" s="262"/>
      <c r="N59" s="262"/>
    </row>
    <row r="60" spans="1:14" ht="14.5" x14ac:dyDescent="0.35">
      <c r="A60" s="192" t="s">
        <v>20</v>
      </c>
      <c r="B60" s="193">
        <v>45614</v>
      </c>
      <c r="C60" s="237">
        <v>1325</v>
      </c>
      <c r="D60" s="238">
        <v>80</v>
      </c>
      <c r="E60" s="239">
        <v>0</v>
      </c>
      <c r="F60" s="239">
        <v>2</v>
      </c>
      <c r="G60" s="239" t="s">
        <v>649</v>
      </c>
      <c r="H60" s="695">
        <v>6</v>
      </c>
      <c r="I60" s="649">
        <v>0.39</v>
      </c>
      <c r="J60" s="754">
        <v>1</v>
      </c>
      <c r="K60" s="262"/>
      <c r="L60" s="262"/>
      <c r="M60" s="262"/>
      <c r="N60" s="262"/>
    </row>
    <row r="61" spans="1:14" ht="14.5" x14ac:dyDescent="0.35">
      <c r="A61" s="192" t="s">
        <v>22</v>
      </c>
      <c r="B61" s="193">
        <v>45615</v>
      </c>
      <c r="C61" s="214">
        <v>1672</v>
      </c>
      <c r="D61" s="195">
        <v>150</v>
      </c>
      <c r="E61" s="215">
        <v>0</v>
      </c>
      <c r="F61" s="215">
        <v>0</v>
      </c>
      <c r="G61" s="215" t="s">
        <v>650</v>
      </c>
      <c r="H61" s="615">
        <v>12</v>
      </c>
      <c r="I61" s="643">
        <v>0.39</v>
      </c>
      <c r="J61" s="748">
        <v>1</v>
      </c>
      <c r="K61" s="262"/>
      <c r="L61" s="262"/>
      <c r="M61" s="262"/>
      <c r="N61" s="262"/>
    </row>
    <row r="62" spans="1:14" ht="14.5" x14ac:dyDescent="0.35">
      <c r="A62" s="192" t="s">
        <v>24</v>
      </c>
      <c r="B62" s="193">
        <v>45616</v>
      </c>
      <c r="C62" s="237">
        <v>2486</v>
      </c>
      <c r="D62" s="238">
        <v>50</v>
      </c>
      <c r="E62" s="239">
        <v>0</v>
      </c>
      <c r="F62" s="239">
        <v>1</v>
      </c>
      <c r="G62" s="215" t="s">
        <v>651</v>
      </c>
      <c r="H62" s="695">
        <v>19</v>
      </c>
      <c r="I62" s="649">
        <v>0.42</v>
      </c>
      <c r="J62" s="754">
        <v>0</v>
      </c>
      <c r="K62" s="262"/>
      <c r="L62" s="262"/>
      <c r="M62" s="262"/>
      <c r="N62" s="262"/>
    </row>
    <row r="63" spans="1:14" ht="14.5" x14ac:dyDescent="0.35">
      <c r="A63" s="192" t="s">
        <v>10</v>
      </c>
      <c r="B63" s="193">
        <v>45617</v>
      </c>
      <c r="C63" s="205">
        <v>1010</v>
      </c>
      <c r="D63" s="206">
        <v>0</v>
      </c>
      <c r="E63" s="207">
        <v>0</v>
      </c>
      <c r="F63" s="207">
        <v>1</v>
      </c>
      <c r="G63" s="207" t="s">
        <v>652</v>
      </c>
      <c r="H63" s="612">
        <v>7</v>
      </c>
      <c r="I63" s="642">
        <v>0.42</v>
      </c>
      <c r="J63" s="746">
        <v>0</v>
      </c>
      <c r="K63" s="262"/>
      <c r="L63" s="262"/>
      <c r="M63" s="262"/>
      <c r="N63" s="262"/>
    </row>
    <row r="64" spans="1:14" ht="14.5" x14ac:dyDescent="0.35">
      <c r="A64" s="192" t="s">
        <v>13</v>
      </c>
      <c r="B64" s="193">
        <v>45618</v>
      </c>
      <c r="C64" s="209">
        <v>835</v>
      </c>
      <c r="D64" s="210">
        <v>25</v>
      </c>
      <c r="E64" s="211">
        <v>0</v>
      </c>
      <c r="F64" s="211">
        <v>1</v>
      </c>
      <c r="G64" s="211" t="s">
        <v>653</v>
      </c>
      <c r="H64" s="287">
        <v>9</v>
      </c>
      <c r="I64" s="650">
        <v>0.41</v>
      </c>
      <c r="J64" s="747">
        <v>0</v>
      </c>
      <c r="K64" s="262"/>
      <c r="L64" s="262"/>
      <c r="M64" s="262"/>
      <c r="N64" s="262"/>
    </row>
    <row r="65" spans="1:14" ht="14.5" x14ac:dyDescent="0.35">
      <c r="A65" s="192" t="s">
        <v>16</v>
      </c>
      <c r="B65" s="193">
        <v>45619</v>
      </c>
      <c r="C65" s="233">
        <v>668</v>
      </c>
      <c r="D65" s="234">
        <v>135</v>
      </c>
      <c r="E65" s="235">
        <v>0</v>
      </c>
      <c r="F65" s="235">
        <v>2</v>
      </c>
      <c r="G65" s="467" t="s">
        <v>654</v>
      </c>
      <c r="H65" s="481">
        <v>7</v>
      </c>
      <c r="I65" s="648">
        <v>0.39</v>
      </c>
      <c r="J65" s="753">
        <v>0</v>
      </c>
      <c r="K65" s="262"/>
      <c r="L65" s="262"/>
      <c r="M65" s="262"/>
      <c r="N65" s="262"/>
    </row>
    <row r="66" spans="1:14" ht="14.5" x14ac:dyDescent="0.35">
      <c r="A66" s="192" t="s">
        <v>18</v>
      </c>
      <c r="B66" s="193">
        <v>45620</v>
      </c>
      <c r="C66" s="237"/>
      <c r="D66" s="238"/>
      <c r="E66" s="239"/>
      <c r="F66" s="239"/>
      <c r="G66" s="239"/>
      <c r="H66" s="695"/>
      <c r="I66" s="649"/>
      <c r="J66" s="754"/>
      <c r="K66" s="262"/>
      <c r="L66" s="262"/>
      <c r="M66" s="262"/>
      <c r="N66" s="262"/>
    </row>
    <row r="67" spans="1:14" ht="14.5" x14ac:dyDescent="0.35">
      <c r="A67" s="192" t="s">
        <v>20</v>
      </c>
      <c r="B67" s="193">
        <v>45621</v>
      </c>
      <c r="C67" s="233">
        <v>1682</v>
      </c>
      <c r="D67" s="234">
        <v>80</v>
      </c>
      <c r="E67" s="235">
        <v>0</v>
      </c>
      <c r="F67" s="235">
        <v>4</v>
      </c>
      <c r="G67" s="235" t="s">
        <v>655</v>
      </c>
      <c r="H67" s="481">
        <v>9</v>
      </c>
      <c r="I67" s="648">
        <v>0.37</v>
      </c>
      <c r="J67" s="753">
        <v>1</v>
      </c>
      <c r="K67" s="262"/>
      <c r="L67" s="262"/>
      <c r="M67" s="262"/>
      <c r="N67" s="262"/>
    </row>
    <row r="68" spans="1:14" ht="14.5" x14ac:dyDescent="0.35">
      <c r="A68" s="192" t="s">
        <v>22</v>
      </c>
      <c r="B68" s="193">
        <v>45622</v>
      </c>
      <c r="C68" s="209">
        <v>1939</v>
      </c>
      <c r="D68" s="210">
        <v>270</v>
      </c>
      <c r="E68" s="211">
        <v>2</v>
      </c>
      <c r="F68" s="211">
        <v>3</v>
      </c>
      <c r="G68" s="211" t="s">
        <v>656</v>
      </c>
      <c r="H68" s="287">
        <v>8</v>
      </c>
      <c r="I68" s="650">
        <v>0.37</v>
      </c>
      <c r="J68" s="747">
        <v>1</v>
      </c>
      <c r="K68" s="262"/>
      <c r="L68" s="262"/>
      <c r="M68" s="262"/>
      <c r="N68" s="262"/>
    </row>
    <row r="69" spans="1:14" ht="14.5" x14ac:dyDescent="0.35">
      <c r="A69" s="192" t="s">
        <v>24</v>
      </c>
      <c r="B69" s="193">
        <v>45623</v>
      </c>
      <c r="C69" s="214">
        <v>984</v>
      </c>
      <c r="D69" s="195">
        <v>25</v>
      </c>
      <c r="E69" s="215">
        <v>0</v>
      </c>
      <c r="F69" s="215">
        <v>0</v>
      </c>
      <c r="G69" s="215" t="s">
        <v>656</v>
      </c>
      <c r="H69" s="615">
        <v>8</v>
      </c>
      <c r="I69" s="643">
        <v>0.36</v>
      </c>
      <c r="J69" s="748">
        <v>0</v>
      </c>
      <c r="K69" s="262"/>
      <c r="L69" s="262"/>
      <c r="M69" s="262"/>
      <c r="N69" s="262"/>
    </row>
    <row r="70" spans="1:14" ht="14.5" x14ac:dyDescent="0.35">
      <c r="A70" s="192" t="s">
        <v>10</v>
      </c>
      <c r="B70" s="193">
        <v>45624</v>
      </c>
      <c r="C70" s="212"/>
      <c r="D70" s="213"/>
      <c r="E70" s="203"/>
      <c r="F70" s="203"/>
      <c r="G70" s="203"/>
      <c r="H70" s="611"/>
      <c r="I70" s="641"/>
      <c r="J70" s="745"/>
      <c r="K70" s="262"/>
      <c r="L70" s="262"/>
      <c r="M70" s="262"/>
      <c r="N70" s="262"/>
    </row>
    <row r="71" spans="1:14" ht="14.5" x14ac:dyDescent="0.35">
      <c r="A71" s="192" t="s">
        <v>13</v>
      </c>
      <c r="B71" s="193">
        <v>45625</v>
      </c>
      <c r="C71" s="233">
        <v>2503</v>
      </c>
      <c r="D71" s="263">
        <v>0</v>
      </c>
      <c r="E71" s="215">
        <v>0</v>
      </c>
      <c r="F71" s="215">
        <v>2</v>
      </c>
      <c r="G71" s="215" t="s">
        <v>657</v>
      </c>
      <c r="H71" s="615">
        <v>15</v>
      </c>
      <c r="I71" s="643">
        <v>0.37</v>
      </c>
      <c r="J71" s="748">
        <v>0</v>
      </c>
      <c r="K71" s="262"/>
      <c r="L71" s="262"/>
      <c r="M71" s="262"/>
      <c r="N71" s="262"/>
    </row>
    <row r="72" spans="1:14" ht="14.5" x14ac:dyDescent="0.35">
      <c r="A72" s="192" t="s">
        <v>16</v>
      </c>
      <c r="B72" s="193">
        <v>45626</v>
      </c>
      <c r="C72" s="212">
        <v>3019</v>
      </c>
      <c r="D72" s="213">
        <v>190</v>
      </c>
      <c r="E72" s="203">
        <v>2</v>
      </c>
      <c r="F72" s="203">
        <v>3</v>
      </c>
      <c r="G72" s="203" t="s">
        <v>658</v>
      </c>
      <c r="H72" s="611">
        <v>10</v>
      </c>
      <c r="I72" s="641">
        <v>0.36</v>
      </c>
      <c r="J72" s="745">
        <v>2</v>
      </c>
      <c r="K72" s="262"/>
      <c r="L72" s="262"/>
      <c r="M72" s="262"/>
      <c r="N72" s="262"/>
    </row>
    <row r="73" spans="1:14" thickBot="1" x14ac:dyDescent="0.4">
      <c r="A73" s="192"/>
      <c r="B73" s="193"/>
      <c r="C73" s="264"/>
      <c r="D73" s="265"/>
      <c r="E73" s="266"/>
      <c r="F73" s="266"/>
      <c r="G73" s="266" t="s">
        <v>541</v>
      </c>
      <c r="H73" s="696"/>
      <c r="I73" s="689"/>
      <c r="J73" s="755"/>
      <c r="K73" s="262"/>
      <c r="L73" s="262"/>
      <c r="M73" s="262"/>
      <c r="N73" s="262"/>
    </row>
    <row r="74" spans="1:14" thickBot="1" x14ac:dyDescent="0.4">
      <c r="A74" s="257"/>
      <c r="B74" s="268"/>
      <c r="C74" s="258">
        <f t="shared" ref="C74:H74" si="1">SUM(C43:C73)</f>
        <v>41310</v>
      </c>
      <c r="D74" s="259">
        <f t="shared" si="1"/>
        <v>2850</v>
      </c>
      <c r="E74" s="260">
        <f t="shared" si="1"/>
        <v>6</v>
      </c>
      <c r="F74" s="260">
        <f t="shared" si="1"/>
        <v>56</v>
      </c>
      <c r="G74" s="260">
        <f>SUM(G43:G73)</f>
        <v>0</v>
      </c>
      <c r="H74" s="261">
        <f t="shared" si="1"/>
        <v>271</v>
      </c>
      <c r="I74" s="261"/>
      <c r="J74" s="261">
        <f>SUM(J43:J73)</f>
        <v>22</v>
      </c>
      <c r="K74" s="262"/>
      <c r="L74" s="262"/>
      <c r="M74" s="262"/>
      <c r="N74" s="262"/>
    </row>
    <row r="75" spans="1:14" ht="14.5" x14ac:dyDescent="0.35">
      <c r="A75" s="262"/>
      <c r="B75" s="474"/>
      <c r="C75" s="508"/>
      <c r="D75" s="262"/>
      <c r="E75" s="475"/>
      <c r="F75" s="511"/>
      <c r="G75" s="262"/>
      <c r="H75" s="262"/>
      <c r="I75" s="262"/>
      <c r="J75" s="262"/>
      <c r="K75" s="262"/>
      <c r="L75" s="262"/>
      <c r="M75" s="262"/>
    </row>
    <row r="76" spans="1:14" thickBot="1" x14ac:dyDescent="0.4">
      <c r="A76" s="262"/>
      <c r="B76" s="474"/>
      <c r="C76" s="508"/>
      <c r="D76" s="262"/>
      <c r="E76" s="508"/>
      <c r="F76" s="262"/>
      <c r="G76" s="262"/>
      <c r="H76" s="262"/>
      <c r="I76" s="262"/>
      <c r="J76" s="262"/>
      <c r="K76" s="262"/>
      <c r="L76" s="262"/>
      <c r="M76" s="262"/>
    </row>
    <row r="77" spans="1:14" ht="15.65" customHeight="1" x14ac:dyDescent="0.4">
      <c r="A77" s="348"/>
      <c r="B77" s="926" t="s">
        <v>53</v>
      </c>
      <c r="C77" s="935" t="s">
        <v>0</v>
      </c>
      <c r="D77" s="298" t="s">
        <v>2</v>
      </c>
      <c r="E77" s="184" t="s">
        <v>3</v>
      </c>
      <c r="F77" s="185" t="s">
        <v>143</v>
      </c>
      <c r="G77" s="186" t="s">
        <v>6</v>
      </c>
      <c r="H77" s="187" t="s">
        <v>7</v>
      </c>
      <c r="I77" s="587" t="s">
        <v>608</v>
      </c>
      <c r="J77" s="637" t="s">
        <v>514</v>
      </c>
      <c r="K77" s="349"/>
      <c r="L77" s="349"/>
      <c r="M77" s="349"/>
      <c r="N77" s="349"/>
    </row>
    <row r="78" spans="1:14" ht="29" x14ac:dyDescent="0.35">
      <c r="A78" s="497"/>
      <c r="B78" s="934"/>
      <c r="C78" s="936"/>
      <c r="D78" s="299" t="s">
        <v>0</v>
      </c>
      <c r="E78" s="188" t="s">
        <v>0</v>
      </c>
      <c r="F78" s="183" t="s">
        <v>0</v>
      </c>
      <c r="G78" s="665" t="s">
        <v>8</v>
      </c>
      <c r="H78" s="666" t="s">
        <v>9</v>
      </c>
      <c r="I78" s="629" t="s">
        <v>609</v>
      </c>
      <c r="J78" s="663" t="s">
        <v>515</v>
      </c>
      <c r="M78" s="262"/>
      <c r="N78" s="262"/>
    </row>
    <row r="79" spans="1:14" ht="14.5" x14ac:dyDescent="0.35">
      <c r="A79" s="192" t="s">
        <v>13</v>
      </c>
      <c r="B79" s="193">
        <v>45597</v>
      </c>
      <c r="C79" s="194">
        <v>1592</v>
      </c>
      <c r="D79" s="195">
        <v>29</v>
      </c>
      <c r="E79" s="286">
        <v>0</v>
      </c>
      <c r="F79" s="516">
        <v>2</v>
      </c>
      <c r="G79" s="688" t="s">
        <v>659</v>
      </c>
      <c r="H79" s="728">
        <v>17</v>
      </c>
      <c r="I79" s="725">
        <v>0</v>
      </c>
      <c r="J79" s="744">
        <v>1</v>
      </c>
      <c r="K79" s="923" t="s">
        <v>12</v>
      </c>
      <c r="L79" s="923"/>
      <c r="M79" s="262"/>
      <c r="N79" s="262"/>
    </row>
    <row r="80" spans="1:14" ht="14.5" x14ac:dyDescent="0.35">
      <c r="A80" s="192" t="s">
        <v>16</v>
      </c>
      <c r="B80" s="193">
        <v>45598</v>
      </c>
      <c r="C80" s="212">
        <v>2693</v>
      </c>
      <c r="D80" s="213">
        <v>145</v>
      </c>
      <c r="E80" s="203">
        <v>1</v>
      </c>
      <c r="F80" s="203">
        <v>1</v>
      </c>
      <c r="G80" s="203" t="s">
        <v>660</v>
      </c>
      <c r="H80" s="676">
        <v>15</v>
      </c>
      <c r="I80" s="706">
        <v>0.27</v>
      </c>
      <c r="J80" s="745">
        <v>0</v>
      </c>
      <c r="K80" s="513" t="s">
        <v>15</v>
      </c>
      <c r="L80" s="409">
        <v>60000</v>
      </c>
      <c r="M80" s="262"/>
      <c r="N80" s="262"/>
    </row>
    <row r="81" spans="1:14" ht="14.5" x14ac:dyDescent="0.35">
      <c r="A81" s="192" t="s">
        <v>18</v>
      </c>
      <c r="B81" s="193">
        <v>45599</v>
      </c>
      <c r="C81" s="205"/>
      <c r="D81" s="206"/>
      <c r="E81" s="207"/>
      <c r="F81" s="207"/>
      <c r="G81" s="207"/>
      <c r="H81" s="675"/>
      <c r="I81" s="686"/>
      <c r="J81" s="746"/>
      <c r="K81" s="504" t="s">
        <v>17</v>
      </c>
      <c r="L81" s="411">
        <v>2400</v>
      </c>
      <c r="M81" s="262"/>
      <c r="N81" s="262"/>
    </row>
    <row r="82" spans="1:14" ht="14.5" x14ac:dyDescent="0.35">
      <c r="A82" s="192" t="s">
        <v>20</v>
      </c>
      <c r="B82" s="193">
        <v>45600</v>
      </c>
      <c r="C82" s="209">
        <v>1880</v>
      </c>
      <c r="D82" s="210">
        <v>58</v>
      </c>
      <c r="E82" s="211">
        <v>1</v>
      </c>
      <c r="F82" s="211">
        <v>0</v>
      </c>
      <c r="G82" s="211" t="s">
        <v>661</v>
      </c>
      <c r="H82" s="684">
        <v>13</v>
      </c>
      <c r="I82" s="698">
        <v>0.2</v>
      </c>
      <c r="J82" s="747">
        <v>0</v>
      </c>
      <c r="K82" s="515" t="s">
        <v>3</v>
      </c>
      <c r="L82" s="413">
        <v>20</v>
      </c>
      <c r="M82" s="262"/>
      <c r="N82" s="262"/>
    </row>
    <row r="83" spans="1:14" ht="14.5" x14ac:dyDescent="0.35">
      <c r="A83" s="192" t="s">
        <v>22</v>
      </c>
      <c r="B83" s="193">
        <v>45601</v>
      </c>
      <c r="C83" s="205">
        <v>2048</v>
      </c>
      <c r="D83" s="206">
        <v>54</v>
      </c>
      <c r="E83" s="207">
        <v>1</v>
      </c>
      <c r="F83" s="207">
        <v>0</v>
      </c>
      <c r="G83" s="207" t="s">
        <v>662</v>
      </c>
      <c r="H83" s="675">
        <v>9</v>
      </c>
      <c r="I83" s="699">
        <v>0.25</v>
      </c>
      <c r="J83" s="746">
        <v>1</v>
      </c>
      <c r="K83" s="591" t="s">
        <v>614</v>
      </c>
      <c r="L83" s="592">
        <v>0.4</v>
      </c>
      <c r="M83" s="262"/>
      <c r="N83" s="262"/>
    </row>
    <row r="84" spans="1:14" ht="14.5" x14ac:dyDescent="0.35">
      <c r="A84" s="192" t="s">
        <v>24</v>
      </c>
      <c r="B84" s="193">
        <v>45602</v>
      </c>
      <c r="C84" s="212">
        <v>2983</v>
      </c>
      <c r="D84" s="213">
        <v>87</v>
      </c>
      <c r="E84" s="203">
        <v>0</v>
      </c>
      <c r="F84" s="203">
        <v>1</v>
      </c>
      <c r="G84" s="203" t="s">
        <v>663</v>
      </c>
      <c r="H84" s="676">
        <v>17</v>
      </c>
      <c r="I84" s="706">
        <v>0.21</v>
      </c>
      <c r="J84" s="745">
        <v>0</v>
      </c>
      <c r="K84" s="661" t="s">
        <v>616</v>
      </c>
      <c r="L84" s="662">
        <v>75</v>
      </c>
      <c r="M84" s="262"/>
      <c r="N84" s="262"/>
    </row>
    <row r="85" spans="1:14" ht="14.5" x14ac:dyDescent="0.35">
      <c r="A85" s="192" t="s">
        <v>10</v>
      </c>
      <c r="B85" s="193">
        <v>45603</v>
      </c>
      <c r="C85" s="214">
        <v>1762</v>
      </c>
      <c r="D85" s="195">
        <v>29</v>
      </c>
      <c r="E85" s="215">
        <v>0</v>
      </c>
      <c r="F85" s="215">
        <v>1</v>
      </c>
      <c r="G85" s="215" t="s">
        <v>664</v>
      </c>
      <c r="H85" s="682">
        <v>12</v>
      </c>
      <c r="I85" s="700">
        <v>0.22</v>
      </c>
      <c r="J85" s="748">
        <v>0</v>
      </c>
      <c r="K85" s="262"/>
      <c r="L85" s="262"/>
      <c r="M85" s="262"/>
      <c r="N85" s="262"/>
    </row>
    <row r="86" spans="1:14" ht="14.5" x14ac:dyDescent="0.35">
      <c r="A86" s="192" t="s">
        <v>13</v>
      </c>
      <c r="B86" s="193">
        <v>45604</v>
      </c>
      <c r="C86" s="217">
        <v>3158</v>
      </c>
      <c r="D86" s="218">
        <v>145</v>
      </c>
      <c r="E86" s="219">
        <v>1</v>
      </c>
      <c r="F86" s="219">
        <v>6</v>
      </c>
      <c r="G86" s="219" t="s">
        <v>665</v>
      </c>
      <c r="H86" s="677">
        <v>27</v>
      </c>
      <c r="I86" s="701">
        <v>0.25</v>
      </c>
      <c r="J86" s="749">
        <v>3</v>
      </c>
      <c r="K86" s="262"/>
      <c r="L86" s="262"/>
      <c r="M86" s="262"/>
      <c r="N86" s="262"/>
    </row>
    <row r="87" spans="1:14" ht="14.5" x14ac:dyDescent="0.35">
      <c r="A87" s="192" t="s">
        <v>16</v>
      </c>
      <c r="B87" s="193">
        <v>45605</v>
      </c>
      <c r="C87" s="221">
        <v>760</v>
      </c>
      <c r="D87" s="222">
        <v>0</v>
      </c>
      <c r="E87" s="223">
        <v>0</v>
      </c>
      <c r="F87" s="223">
        <v>0</v>
      </c>
      <c r="G87" s="223" t="s">
        <v>666</v>
      </c>
      <c r="H87" s="678">
        <v>11</v>
      </c>
      <c r="I87" s="702">
        <v>0.27</v>
      </c>
      <c r="J87" s="750">
        <v>0</v>
      </c>
      <c r="K87" s="262"/>
      <c r="L87" s="262"/>
      <c r="M87" s="262"/>
      <c r="N87" s="262"/>
    </row>
    <row r="88" spans="1:14" ht="14.5" x14ac:dyDescent="0.35">
      <c r="A88" s="192" t="s">
        <v>18</v>
      </c>
      <c r="B88" s="193">
        <v>45606</v>
      </c>
      <c r="C88" s="225"/>
      <c r="D88" s="226"/>
      <c r="E88" s="227"/>
      <c r="F88" s="227"/>
      <c r="G88" s="227"/>
      <c r="H88" s="679"/>
      <c r="I88" s="703"/>
      <c r="J88" s="751"/>
      <c r="K88" s="262"/>
      <c r="L88" s="262"/>
      <c r="M88" s="262"/>
      <c r="N88" s="262"/>
    </row>
    <row r="89" spans="1:14" ht="14.5" x14ac:dyDescent="0.35">
      <c r="A89" s="192" t="s">
        <v>20</v>
      </c>
      <c r="B89" s="193">
        <v>45607</v>
      </c>
      <c r="C89" s="229">
        <v>2621</v>
      </c>
      <c r="D89" s="230">
        <v>0</v>
      </c>
      <c r="E89" s="231">
        <v>2</v>
      </c>
      <c r="F89" s="231">
        <v>3</v>
      </c>
      <c r="G89" s="231" t="s">
        <v>667</v>
      </c>
      <c r="H89" s="680">
        <v>20</v>
      </c>
      <c r="I89" s="704">
        <v>0.26</v>
      </c>
      <c r="J89" s="752">
        <v>0</v>
      </c>
      <c r="K89" s="262"/>
      <c r="L89" s="262"/>
      <c r="M89" s="262"/>
      <c r="N89" s="262"/>
    </row>
    <row r="90" spans="1:14" ht="14.5" x14ac:dyDescent="0.35">
      <c r="A90" s="192" t="s">
        <v>22</v>
      </c>
      <c r="B90" s="193">
        <v>45608</v>
      </c>
      <c r="C90" s="225">
        <v>3806</v>
      </c>
      <c r="D90" s="226">
        <v>29</v>
      </c>
      <c r="E90" s="227">
        <v>1</v>
      </c>
      <c r="F90" s="227">
        <v>3</v>
      </c>
      <c r="G90" s="227" t="s">
        <v>668</v>
      </c>
      <c r="H90" s="679">
        <v>25</v>
      </c>
      <c r="I90" s="703">
        <v>0.24</v>
      </c>
      <c r="J90" s="751">
        <v>0</v>
      </c>
      <c r="K90" s="262"/>
      <c r="L90" s="262"/>
      <c r="M90" s="262"/>
      <c r="N90" s="262"/>
    </row>
    <row r="91" spans="1:14" ht="14.5" x14ac:dyDescent="0.35">
      <c r="A91" s="192" t="s">
        <v>24</v>
      </c>
      <c r="B91" s="193">
        <v>45609</v>
      </c>
      <c r="C91" s="233">
        <v>1023</v>
      </c>
      <c r="D91" s="234">
        <v>58</v>
      </c>
      <c r="E91" s="235">
        <v>0</v>
      </c>
      <c r="F91" s="235">
        <v>0</v>
      </c>
      <c r="G91" s="235" t="s">
        <v>669</v>
      </c>
      <c r="H91" s="681">
        <v>8</v>
      </c>
      <c r="I91" s="705">
        <v>0.25</v>
      </c>
      <c r="J91" s="753">
        <v>0</v>
      </c>
      <c r="K91" s="262"/>
      <c r="L91" s="262"/>
      <c r="M91" s="262"/>
      <c r="N91" s="262"/>
    </row>
    <row r="92" spans="1:14" ht="14.5" x14ac:dyDescent="0.35">
      <c r="A92" s="192" t="s">
        <v>10</v>
      </c>
      <c r="B92" s="193">
        <v>45610</v>
      </c>
      <c r="C92" s="225">
        <v>1936</v>
      </c>
      <c r="D92" s="226">
        <v>87</v>
      </c>
      <c r="E92" s="227">
        <v>2</v>
      </c>
      <c r="F92" s="227">
        <v>1</v>
      </c>
      <c r="G92" s="227" t="s">
        <v>670</v>
      </c>
      <c r="H92" s="679">
        <v>13</v>
      </c>
      <c r="I92" s="703">
        <v>0.26</v>
      </c>
      <c r="J92" s="751">
        <v>1</v>
      </c>
      <c r="K92" s="262"/>
      <c r="L92" s="262"/>
      <c r="M92" s="262"/>
      <c r="N92" s="262"/>
    </row>
    <row r="93" spans="1:14" ht="14.5" x14ac:dyDescent="0.35">
      <c r="A93" s="192" t="s">
        <v>13</v>
      </c>
      <c r="B93" s="193">
        <v>45611</v>
      </c>
      <c r="C93" s="233">
        <v>3002</v>
      </c>
      <c r="D93" s="195">
        <v>87</v>
      </c>
      <c r="E93" s="215">
        <v>0</v>
      </c>
      <c r="F93" s="215">
        <v>1</v>
      </c>
      <c r="G93" s="215" t="s">
        <v>671</v>
      </c>
      <c r="H93" s="682">
        <v>16</v>
      </c>
      <c r="I93" s="700">
        <v>0.27</v>
      </c>
      <c r="J93" s="748">
        <v>1</v>
      </c>
      <c r="K93" s="262"/>
      <c r="L93" s="262"/>
      <c r="M93" s="262"/>
      <c r="N93" s="262"/>
    </row>
    <row r="94" spans="1:14" ht="14.5" x14ac:dyDescent="0.35">
      <c r="A94" s="192" t="s">
        <v>16</v>
      </c>
      <c r="B94" s="193">
        <v>45612</v>
      </c>
      <c r="C94" s="209">
        <v>2177</v>
      </c>
      <c r="D94" s="213">
        <v>58</v>
      </c>
      <c r="E94" s="203">
        <v>1</v>
      </c>
      <c r="F94" s="203">
        <v>3</v>
      </c>
      <c r="G94" s="203" t="s">
        <v>672</v>
      </c>
      <c r="H94" s="676">
        <v>19</v>
      </c>
      <c r="I94" s="706">
        <v>0.28000000000000003</v>
      </c>
      <c r="J94" s="745">
        <v>0</v>
      </c>
      <c r="K94" s="262"/>
      <c r="L94" s="262"/>
      <c r="M94" s="262"/>
      <c r="N94" s="262"/>
    </row>
    <row r="95" spans="1:14" ht="14.5" x14ac:dyDescent="0.35">
      <c r="A95" s="192" t="s">
        <v>18</v>
      </c>
      <c r="B95" s="193">
        <v>45613</v>
      </c>
      <c r="C95" s="233"/>
      <c r="D95" s="234"/>
      <c r="E95" s="215"/>
      <c r="F95" s="215"/>
      <c r="G95" s="235"/>
      <c r="H95" s="682"/>
      <c r="I95" s="700"/>
      <c r="J95" s="748"/>
      <c r="K95" s="262"/>
      <c r="L95" s="262"/>
      <c r="M95" s="262"/>
      <c r="N95" s="262"/>
    </row>
    <row r="96" spans="1:14" ht="14.5" x14ac:dyDescent="0.35">
      <c r="A96" s="192" t="s">
        <v>20</v>
      </c>
      <c r="B96" s="193">
        <v>45614</v>
      </c>
      <c r="C96" s="237">
        <v>2617</v>
      </c>
      <c r="D96" s="270">
        <v>0</v>
      </c>
      <c r="E96" s="239">
        <v>2</v>
      </c>
      <c r="F96" s="239">
        <v>1</v>
      </c>
      <c r="G96" s="239" t="s">
        <v>673</v>
      </c>
      <c r="H96" s="683">
        <v>14</v>
      </c>
      <c r="I96" s="707">
        <v>0.28000000000000003</v>
      </c>
      <c r="J96" s="754">
        <v>0</v>
      </c>
      <c r="K96" s="262"/>
      <c r="L96" s="262"/>
      <c r="M96" s="262"/>
      <c r="N96" s="262"/>
    </row>
    <row r="97" spans="1:14" ht="14.5" x14ac:dyDescent="0.35">
      <c r="A97" s="192" t="s">
        <v>22</v>
      </c>
      <c r="B97" s="193">
        <v>45615</v>
      </c>
      <c r="C97" s="214">
        <v>3006</v>
      </c>
      <c r="D97" s="195">
        <v>143</v>
      </c>
      <c r="E97" s="215">
        <v>6</v>
      </c>
      <c r="F97" s="215">
        <v>1</v>
      </c>
      <c r="G97" s="215" t="s">
        <v>674</v>
      </c>
      <c r="H97" s="682">
        <v>12</v>
      </c>
      <c r="I97" s="700">
        <v>0.27</v>
      </c>
      <c r="J97" s="748">
        <v>0</v>
      </c>
      <c r="K97" s="262"/>
      <c r="L97" s="262"/>
      <c r="M97" s="262"/>
      <c r="N97" s="262"/>
    </row>
    <row r="98" spans="1:14" ht="14.5" x14ac:dyDescent="0.35">
      <c r="A98" s="192" t="s">
        <v>24</v>
      </c>
      <c r="B98" s="193">
        <v>45616</v>
      </c>
      <c r="C98" s="237">
        <v>1178</v>
      </c>
      <c r="D98" s="238">
        <v>29</v>
      </c>
      <c r="E98" s="239">
        <v>0</v>
      </c>
      <c r="F98" s="239">
        <v>4</v>
      </c>
      <c r="G98" s="215" t="s">
        <v>675</v>
      </c>
      <c r="H98" s="683">
        <v>20</v>
      </c>
      <c r="I98" s="707">
        <v>0.28999999999999998</v>
      </c>
      <c r="J98" s="754">
        <v>1</v>
      </c>
      <c r="K98" s="262"/>
      <c r="L98" s="262"/>
      <c r="M98" s="262"/>
      <c r="N98" s="262"/>
    </row>
    <row r="99" spans="1:14" ht="14.5" x14ac:dyDescent="0.35">
      <c r="A99" s="192" t="s">
        <v>10</v>
      </c>
      <c r="B99" s="193">
        <v>45617</v>
      </c>
      <c r="C99" s="205">
        <v>1653</v>
      </c>
      <c r="D99" s="206">
        <v>0</v>
      </c>
      <c r="E99" s="207">
        <v>2</v>
      </c>
      <c r="F99" s="207">
        <v>2</v>
      </c>
      <c r="G99" s="207" t="s">
        <v>676</v>
      </c>
      <c r="H99" s="675">
        <v>17</v>
      </c>
      <c r="I99" s="699">
        <v>0.3</v>
      </c>
      <c r="J99" s="746">
        <v>1</v>
      </c>
      <c r="K99" s="262"/>
      <c r="L99" s="262"/>
      <c r="M99" s="262"/>
      <c r="N99" s="262"/>
    </row>
    <row r="100" spans="1:14" ht="14.5" x14ac:dyDescent="0.35">
      <c r="A100" s="192" t="s">
        <v>13</v>
      </c>
      <c r="B100" s="193">
        <v>45618</v>
      </c>
      <c r="C100" s="209">
        <v>2503</v>
      </c>
      <c r="D100" s="210">
        <v>29</v>
      </c>
      <c r="E100" s="211">
        <v>3</v>
      </c>
      <c r="F100" s="211">
        <v>2</v>
      </c>
      <c r="G100" s="211" t="s">
        <v>677</v>
      </c>
      <c r="H100" s="684">
        <v>18</v>
      </c>
      <c r="I100" s="698">
        <v>0.32</v>
      </c>
      <c r="J100" s="747">
        <v>0</v>
      </c>
      <c r="K100" s="262"/>
      <c r="L100" s="262"/>
      <c r="M100" s="262"/>
      <c r="N100" s="262"/>
    </row>
    <row r="101" spans="1:14" ht="14.5" x14ac:dyDescent="0.35">
      <c r="A101" s="192" t="s">
        <v>16</v>
      </c>
      <c r="B101" s="193">
        <v>45619</v>
      </c>
      <c r="C101" s="233">
        <v>5288</v>
      </c>
      <c r="D101" s="234">
        <v>203</v>
      </c>
      <c r="E101" s="235">
        <v>3</v>
      </c>
      <c r="F101" s="235">
        <v>6</v>
      </c>
      <c r="G101" s="235" t="s">
        <v>678</v>
      </c>
      <c r="H101" s="681">
        <v>27</v>
      </c>
      <c r="I101" s="705">
        <v>0.33</v>
      </c>
      <c r="J101" s="753">
        <v>2</v>
      </c>
      <c r="K101" s="262"/>
      <c r="L101" s="262"/>
      <c r="M101" s="262"/>
      <c r="N101" s="262"/>
    </row>
    <row r="102" spans="1:14" ht="14.5" x14ac:dyDescent="0.35">
      <c r="A102" s="192" t="s">
        <v>18</v>
      </c>
      <c r="B102" s="193">
        <v>45620</v>
      </c>
      <c r="C102" s="237"/>
      <c r="D102" s="238"/>
      <c r="E102" s="239"/>
      <c r="F102" s="239"/>
      <c r="G102" s="239"/>
      <c r="H102" s="683"/>
      <c r="I102" s="707"/>
      <c r="J102" s="754"/>
      <c r="K102" s="262"/>
      <c r="L102" s="262"/>
      <c r="M102" s="262"/>
      <c r="N102" s="262"/>
    </row>
    <row r="103" spans="1:14" ht="14.5" x14ac:dyDescent="0.35">
      <c r="A103" s="192" t="s">
        <v>20</v>
      </c>
      <c r="B103" s="193">
        <v>45621</v>
      </c>
      <c r="C103" s="233">
        <v>1211</v>
      </c>
      <c r="D103" s="234">
        <v>0</v>
      </c>
      <c r="E103" s="235">
        <v>0</v>
      </c>
      <c r="F103" s="235">
        <v>3</v>
      </c>
      <c r="G103" s="235" t="s">
        <v>679</v>
      </c>
      <c r="H103" s="681">
        <v>12</v>
      </c>
      <c r="I103" s="705">
        <v>0.34</v>
      </c>
      <c r="J103" s="753">
        <v>1</v>
      </c>
      <c r="K103" s="262"/>
      <c r="L103" s="262"/>
      <c r="M103" s="508"/>
      <c r="N103" s="262"/>
    </row>
    <row r="104" spans="1:14" ht="14.5" x14ac:dyDescent="0.35">
      <c r="A104" s="192" t="s">
        <v>22</v>
      </c>
      <c r="B104" s="193">
        <v>45622</v>
      </c>
      <c r="C104" s="209">
        <v>1894</v>
      </c>
      <c r="D104" s="210">
        <v>58</v>
      </c>
      <c r="E104" s="211">
        <v>3</v>
      </c>
      <c r="F104" s="211">
        <v>0</v>
      </c>
      <c r="G104" s="211" t="s">
        <v>680</v>
      </c>
      <c r="H104" s="684">
        <v>12</v>
      </c>
      <c r="I104" s="698">
        <v>0.35</v>
      </c>
      <c r="J104" s="747">
        <v>0</v>
      </c>
      <c r="K104" s="262"/>
      <c r="L104" s="262"/>
      <c r="M104" s="508"/>
      <c r="N104" s="262"/>
    </row>
    <row r="105" spans="1:14" ht="14.5" x14ac:dyDescent="0.35">
      <c r="A105" s="192" t="s">
        <v>24</v>
      </c>
      <c r="B105" s="193">
        <v>45623</v>
      </c>
      <c r="C105" s="214">
        <v>1068</v>
      </c>
      <c r="D105" s="195">
        <v>58</v>
      </c>
      <c r="E105" s="215">
        <v>0</v>
      </c>
      <c r="F105" s="215">
        <v>1</v>
      </c>
      <c r="G105" s="215" t="s">
        <v>460</v>
      </c>
      <c r="H105" s="697">
        <v>20</v>
      </c>
      <c r="I105" s="705">
        <v>0.34</v>
      </c>
      <c r="J105" s="756">
        <v>1</v>
      </c>
      <c r="K105" s="262"/>
      <c r="L105" s="262"/>
      <c r="M105" s="262"/>
      <c r="N105" s="262"/>
    </row>
    <row r="106" spans="1:14" ht="14.5" x14ac:dyDescent="0.35">
      <c r="A106" s="192" t="s">
        <v>10</v>
      </c>
      <c r="B106" s="193">
        <v>45624</v>
      </c>
      <c r="C106" s="212"/>
      <c r="D106" s="213"/>
      <c r="E106" s="203"/>
      <c r="F106" s="203"/>
      <c r="G106" s="215"/>
      <c r="H106" s="676"/>
      <c r="I106" s="706"/>
      <c r="J106" s="745"/>
      <c r="M106" s="262"/>
      <c r="N106" s="262"/>
    </row>
    <row r="107" spans="1:14" ht="14.5" x14ac:dyDescent="0.35">
      <c r="A107" s="192" t="s">
        <v>13</v>
      </c>
      <c r="B107" s="193">
        <v>45625</v>
      </c>
      <c r="C107" s="233">
        <v>3423</v>
      </c>
      <c r="D107" s="195">
        <v>58</v>
      </c>
      <c r="E107" s="215">
        <v>0</v>
      </c>
      <c r="F107" s="247">
        <v>2</v>
      </c>
      <c r="G107" s="262" t="s">
        <v>681</v>
      </c>
      <c r="H107" s="682">
        <v>21</v>
      </c>
      <c r="I107" s="700">
        <v>0.34</v>
      </c>
      <c r="J107" s="748">
        <v>0</v>
      </c>
      <c r="M107" s="262"/>
      <c r="N107" s="262"/>
    </row>
    <row r="108" spans="1:14" ht="14.5" x14ac:dyDescent="0.35">
      <c r="A108" s="192" t="s">
        <v>16</v>
      </c>
      <c r="B108" s="193">
        <v>45626</v>
      </c>
      <c r="C108" s="212">
        <v>1922</v>
      </c>
      <c r="D108" s="213">
        <v>87</v>
      </c>
      <c r="E108" s="203">
        <v>0</v>
      </c>
      <c r="F108" s="203">
        <v>1</v>
      </c>
      <c r="G108" s="203" t="s">
        <v>682</v>
      </c>
      <c r="H108" s="676">
        <v>20</v>
      </c>
      <c r="I108" s="706">
        <v>0.35</v>
      </c>
      <c r="J108" s="745">
        <v>1</v>
      </c>
      <c r="M108" s="262"/>
      <c r="N108" s="262"/>
    </row>
    <row r="109" spans="1:14" thickBot="1" x14ac:dyDescent="0.4">
      <c r="A109" s="192"/>
      <c r="B109" s="193"/>
      <c r="C109" s="264"/>
      <c r="D109" s="265"/>
      <c r="E109" s="266"/>
      <c r="F109" s="266"/>
      <c r="G109" s="266" t="s">
        <v>564</v>
      </c>
      <c r="H109" s="687"/>
      <c r="I109" s="708"/>
      <c r="J109" s="755"/>
      <c r="M109" s="262"/>
      <c r="N109" s="262"/>
    </row>
    <row r="110" spans="1:14" thickBot="1" x14ac:dyDescent="0.4">
      <c r="A110" s="257"/>
      <c r="B110" s="268"/>
      <c r="C110" s="258">
        <f>SUM(C79:C109)</f>
        <v>57204</v>
      </c>
      <c r="D110" s="259">
        <f>SUM(D79:D109)</f>
        <v>1531</v>
      </c>
      <c r="E110" s="260">
        <f>SUM(E79:E109)</f>
        <v>29</v>
      </c>
      <c r="F110" s="260">
        <f>SUM(F79:F109)</f>
        <v>45</v>
      </c>
      <c r="G110" s="261"/>
      <c r="H110" s="261">
        <f>SUM(H79:H109)</f>
        <v>415</v>
      </c>
      <c r="I110" s="709"/>
      <c r="J110" s="260">
        <f>SUM(J79:J109)</f>
        <v>14</v>
      </c>
      <c r="K110" s="262"/>
      <c r="L110" s="262"/>
      <c r="M110" s="262"/>
      <c r="N110" s="262"/>
    </row>
    <row r="111" spans="1:14" ht="14.5" x14ac:dyDescent="0.35">
      <c r="A111" s="262"/>
      <c r="B111" s="474"/>
      <c r="C111" s="508"/>
      <c r="D111" s="475"/>
      <c r="E111" s="511"/>
      <c r="F111" s="262"/>
      <c r="G111" s="262"/>
      <c r="H111" s="262"/>
      <c r="I111" s="262"/>
      <c r="J111" s="262"/>
      <c r="K111" s="262"/>
      <c r="L111" s="262"/>
      <c r="M111" s="262"/>
    </row>
    <row r="112" spans="1:14" ht="14.5" x14ac:dyDescent="0.35">
      <c r="A112" s="262"/>
      <c r="B112" s="474"/>
      <c r="C112" s="508"/>
      <c r="D112" s="475"/>
      <c r="E112" s="511"/>
      <c r="F112" s="262"/>
      <c r="G112" s="262"/>
      <c r="H112" s="262"/>
      <c r="I112" s="262"/>
      <c r="J112" s="262"/>
      <c r="K112" s="262"/>
      <c r="L112" s="262"/>
      <c r="M112" s="262"/>
    </row>
    <row r="113" spans="1:13" ht="16" x14ac:dyDescent="0.4">
      <c r="A113" s="262"/>
      <c r="B113" s="474"/>
      <c r="C113" s="508"/>
      <c r="D113" s="475"/>
      <c r="E113" s="511"/>
      <c r="F113" s="262"/>
      <c r="G113" s="262"/>
      <c r="H113" s="262"/>
      <c r="I113" s="349"/>
      <c r="J113" s="349"/>
      <c r="K113" s="349"/>
      <c r="L113" s="349"/>
      <c r="M113" s="262"/>
    </row>
    <row r="114" spans="1:13" ht="25" customHeight="1" thickBot="1" x14ac:dyDescent="0.4">
      <c r="A114" s="262"/>
      <c r="B114" s="474"/>
      <c r="C114" s="508"/>
      <c r="D114" s="475"/>
      <c r="E114" s="511"/>
      <c r="F114" s="262"/>
      <c r="G114" s="262"/>
      <c r="H114" s="262"/>
      <c r="I114" s="262"/>
      <c r="J114" s="262"/>
      <c r="M114" s="262"/>
    </row>
    <row r="115" spans="1:13" ht="16" customHeight="1" x14ac:dyDescent="0.4">
      <c r="A115" s="2"/>
      <c r="B115" s="926" t="s">
        <v>70</v>
      </c>
      <c r="C115" s="935" t="s">
        <v>0</v>
      </c>
      <c r="D115" s="298" t="s">
        <v>2</v>
      </c>
      <c r="E115" s="184" t="s">
        <v>3</v>
      </c>
      <c r="F115" s="185" t="s">
        <v>143</v>
      </c>
      <c r="G115" s="186" t="s">
        <v>6</v>
      </c>
      <c r="H115" s="187" t="s">
        <v>7</v>
      </c>
      <c r="I115" s="587" t="s">
        <v>608</v>
      </c>
      <c r="J115" s="637" t="s">
        <v>514</v>
      </c>
      <c r="M115" s="262"/>
    </row>
    <row r="116" spans="1:13" ht="29.15" customHeight="1" x14ac:dyDescent="0.35">
      <c r="A116" s="8"/>
      <c r="B116" s="934"/>
      <c r="C116" s="936"/>
      <c r="D116" s="299" t="s">
        <v>0</v>
      </c>
      <c r="E116" s="188" t="s">
        <v>0</v>
      </c>
      <c r="F116" s="183" t="s">
        <v>0</v>
      </c>
      <c r="G116" s="710" t="s">
        <v>8</v>
      </c>
      <c r="H116" s="711" t="s">
        <v>9</v>
      </c>
      <c r="I116" s="629" t="s">
        <v>609</v>
      </c>
      <c r="J116" s="663" t="s">
        <v>515</v>
      </c>
      <c r="M116" s="262"/>
    </row>
    <row r="117" spans="1:13" ht="14.5" x14ac:dyDescent="0.35">
      <c r="A117" s="192" t="s">
        <v>13</v>
      </c>
      <c r="B117" s="193">
        <v>45597</v>
      </c>
      <c r="C117" s="194">
        <v>1566</v>
      </c>
      <c r="D117" s="195">
        <v>60</v>
      </c>
      <c r="E117" s="196">
        <v>0</v>
      </c>
      <c r="F117" s="516">
        <v>2</v>
      </c>
      <c r="G117" s="688" t="s">
        <v>599</v>
      </c>
      <c r="H117" s="727">
        <v>11</v>
      </c>
      <c r="I117" s="724">
        <v>0</v>
      </c>
      <c r="J117" s="744">
        <v>0</v>
      </c>
      <c r="M117" s="262"/>
    </row>
    <row r="118" spans="1:13" ht="14.5" x14ac:dyDescent="0.35">
      <c r="A118" s="192" t="s">
        <v>16</v>
      </c>
      <c r="B118" s="193">
        <v>45598</v>
      </c>
      <c r="C118" s="212">
        <v>2677</v>
      </c>
      <c r="D118" s="213">
        <v>0</v>
      </c>
      <c r="E118" s="203">
        <v>0</v>
      </c>
      <c r="F118" s="203">
        <v>5</v>
      </c>
      <c r="G118" s="203" t="s">
        <v>683</v>
      </c>
      <c r="H118" s="611">
        <v>14</v>
      </c>
      <c r="I118" s="641">
        <v>0</v>
      </c>
      <c r="J118" s="745">
        <v>0</v>
      </c>
      <c r="K118" s="517"/>
      <c r="L118" s="473"/>
      <c r="M118" s="262"/>
    </row>
    <row r="119" spans="1:13" ht="14.5" x14ac:dyDescent="0.35">
      <c r="A119" s="192" t="s">
        <v>18</v>
      </c>
      <c r="B119" s="193">
        <v>45599</v>
      </c>
      <c r="C119" s="205"/>
      <c r="D119" s="206"/>
      <c r="E119" s="207"/>
      <c r="F119" s="207"/>
      <c r="G119" s="207"/>
      <c r="H119" s="612"/>
      <c r="I119" s="619"/>
      <c r="J119" s="746"/>
      <c r="K119" s="923" t="s">
        <v>12</v>
      </c>
      <c r="L119" s="923"/>
      <c r="M119" s="262"/>
    </row>
    <row r="120" spans="1:13" ht="14.5" x14ac:dyDescent="0.35">
      <c r="A120" s="192" t="s">
        <v>20</v>
      </c>
      <c r="B120" s="193">
        <v>45600</v>
      </c>
      <c r="C120" s="209">
        <v>1925</v>
      </c>
      <c r="D120" s="210">
        <v>90</v>
      </c>
      <c r="E120" s="211">
        <v>0</v>
      </c>
      <c r="F120" s="211">
        <v>3</v>
      </c>
      <c r="G120" s="211" t="s">
        <v>79</v>
      </c>
      <c r="H120" s="287">
        <v>13</v>
      </c>
      <c r="I120" s="650">
        <v>0.08</v>
      </c>
      <c r="J120" s="747">
        <v>0</v>
      </c>
      <c r="K120" s="513" t="s">
        <v>15</v>
      </c>
      <c r="L120" s="409">
        <v>40000</v>
      </c>
      <c r="M120" s="262"/>
    </row>
    <row r="121" spans="1:13" ht="14.5" x14ac:dyDescent="0.35">
      <c r="A121" s="192" t="s">
        <v>22</v>
      </c>
      <c r="B121" s="193">
        <v>45601</v>
      </c>
      <c r="C121" s="205">
        <v>1590</v>
      </c>
      <c r="D121" s="206">
        <v>125</v>
      </c>
      <c r="E121" s="207">
        <v>0</v>
      </c>
      <c r="F121" s="207">
        <v>2</v>
      </c>
      <c r="G121" s="207" t="s">
        <v>684</v>
      </c>
      <c r="H121" s="612">
        <v>11</v>
      </c>
      <c r="I121" s="642">
        <v>0.08</v>
      </c>
      <c r="J121" s="746">
        <v>0</v>
      </c>
      <c r="K121" s="504" t="s">
        <v>17</v>
      </c>
      <c r="L121" s="411">
        <v>1200</v>
      </c>
      <c r="M121" s="262"/>
    </row>
    <row r="122" spans="1:13" ht="14.5" x14ac:dyDescent="0.35">
      <c r="A122" s="192" t="s">
        <v>24</v>
      </c>
      <c r="B122" s="193">
        <v>45602</v>
      </c>
      <c r="C122" s="212">
        <v>560</v>
      </c>
      <c r="D122" s="213">
        <v>130</v>
      </c>
      <c r="E122" s="203">
        <v>0</v>
      </c>
      <c r="F122" s="203">
        <v>0</v>
      </c>
      <c r="G122" s="203" t="s">
        <v>684</v>
      </c>
      <c r="H122" s="611">
        <v>3</v>
      </c>
      <c r="I122" s="641">
        <v>0.06</v>
      </c>
      <c r="J122" s="745">
        <v>0</v>
      </c>
      <c r="K122" s="515" t="s">
        <v>3</v>
      </c>
      <c r="L122" s="413">
        <v>8</v>
      </c>
      <c r="M122" s="262"/>
    </row>
    <row r="123" spans="1:13" ht="14.5" x14ac:dyDescent="0.35">
      <c r="A123" s="192" t="s">
        <v>10</v>
      </c>
      <c r="B123" s="193">
        <v>45603</v>
      </c>
      <c r="C123" s="214">
        <v>758</v>
      </c>
      <c r="D123" s="195">
        <v>0</v>
      </c>
      <c r="E123" s="215">
        <v>0</v>
      </c>
      <c r="F123" s="215">
        <v>1</v>
      </c>
      <c r="G123" s="215" t="s">
        <v>407</v>
      </c>
      <c r="H123" s="615">
        <v>8</v>
      </c>
      <c r="I123" s="643">
        <v>0.06</v>
      </c>
      <c r="J123" s="748">
        <v>3</v>
      </c>
      <c r="K123" s="591" t="s">
        <v>614</v>
      </c>
      <c r="L123" s="592">
        <v>0.4</v>
      </c>
      <c r="M123" s="262"/>
    </row>
    <row r="124" spans="1:13" ht="14.5" x14ac:dyDescent="0.35">
      <c r="A124" s="192" t="s">
        <v>13</v>
      </c>
      <c r="B124" s="193">
        <v>45604</v>
      </c>
      <c r="C124" s="217">
        <v>689</v>
      </c>
      <c r="D124" s="218">
        <v>0</v>
      </c>
      <c r="E124" s="219">
        <v>0</v>
      </c>
      <c r="F124" s="219">
        <v>1</v>
      </c>
      <c r="G124" s="219" t="s">
        <v>407</v>
      </c>
      <c r="H124" s="691">
        <v>4</v>
      </c>
      <c r="I124" s="644">
        <v>0.06</v>
      </c>
      <c r="J124" s="749">
        <v>0</v>
      </c>
      <c r="K124" s="661" t="s">
        <v>616</v>
      </c>
      <c r="L124" s="662">
        <v>50</v>
      </c>
      <c r="M124" s="262"/>
    </row>
    <row r="125" spans="1:13" ht="14.5" x14ac:dyDescent="0.35">
      <c r="A125" s="192" t="s">
        <v>16</v>
      </c>
      <c r="B125" s="193">
        <v>45605</v>
      </c>
      <c r="C125" s="221">
        <v>2855</v>
      </c>
      <c r="D125" s="222">
        <v>30</v>
      </c>
      <c r="E125" s="223">
        <v>1</v>
      </c>
      <c r="F125" s="223">
        <v>4</v>
      </c>
      <c r="G125" s="223" t="s">
        <v>683</v>
      </c>
      <c r="H125" s="692">
        <v>18</v>
      </c>
      <c r="I125" s="645">
        <v>0.1</v>
      </c>
      <c r="J125" s="750">
        <v>0</v>
      </c>
      <c r="K125" s="517"/>
      <c r="L125" s="473"/>
      <c r="M125" s="262"/>
    </row>
    <row r="126" spans="1:13" ht="14.5" x14ac:dyDescent="0.35">
      <c r="A126" s="192" t="s">
        <v>18</v>
      </c>
      <c r="B126" s="193">
        <v>45606</v>
      </c>
      <c r="C126" s="225"/>
      <c r="D126" s="226"/>
      <c r="E126" s="227"/>
      <c r="F126" s="227"/>
      <c r="G126" s="227"/>
      <c r="H126" s="693"/>
      <c r="I126" s="646"/>
      <c r="J126" s="751"/>
      <c r="K126" s="517"/>
      <c r="L126" s="473"/>
      <c r="M126" s="262"/>
    </row>
    <row r="127" spans="1:13" ht="14.5" x14ac:dyDescent="0.35">
      <c r="A127" s="192" t="s">
        <v>20</v>
      </c>
      <c r="B127" s="193">
        <v>45607</v>
      </c>
      <c r="C127" s="229">
        <v>2645</v>
      </c>
      <c r="D127" s="230">
        <v>60</v>
      </c>
      <c r="E127" s="231">
        <v>0</v>
      </c>
      <c r="F127" s="231">
        <v>1</v>
      </c>
      <c r="G127" s="231" t="s">
        <v>683</v>
      </c>
      <c r="H127" s="694">
        <v>14</v>
      </c>
      <c r="I127" s="647">
        <v>0.12</v>
      </c>
      <c r="J127" s="752">
        <v>0</v>
      </c>
      <c r="K127" s="517"/>
      <c r="L127" s="473"/>
      <c r="M127" s="262"/>
    </row>
    <row r="128" spans="1:13" ht="14.5" x14ac:dyDescent="0.35">
      <c r="A128" s="192" t="s">
        <v>22</v>
      </c>
      <c r="B128" s="193">
        <v>45608</v>
      </c>
      <c r="C128" s="225">
        <v>1634</v>
      </c>
      <c r="D128" s="226">
        <v>40</v>
      </c>
      <c r="E128" s="227">
        <v>0</v>
      </c>
      <c r="F128" s="227">
        <v>1</v>
      </c>
      <c r="G128" s="227" t="s">
        <v>683</v>
      </c>
      <c r="H128" s="693">
        <v>13</v>
      </c>
      <c r="I128" s="646">
        <v>0.1</v>
      </c>
      <c r="J128" s="751">
        <v>0</v>
      </c>
      <c r="K128" s="517"/>
      <c r="L128" s="473"/>
      <c r="M128" s="262"/>
    </row>
    <row r="129" spans="1:13" ht="14.5" x14ac:dyDescent="0.35">
      <c r="A129" s="192" t="s">
        <v>24</v>
      </c>
      <c r="B129" s="193">
        <v>45609</v>
      </c>
      <c r="C129" s="233">
        <v>1825</v>
      </c>
      <c r="D129" s="234">
        <v>0</v>
      </c>
      <c r="E129" s="235">
        <v>0</v>
      </c>
      <c r="F129" s="235">
        <v>1</v>
      </c>
      <c r="G129" s="235" t="s">
        <v>685</v>
      </c>
      <c r="H129" s="481">
        <v>8</v>
      </c>
      <c r="I129" s="648">
        <v>0.13</v>
      </c>
      <c r="J129" s="753">
        <v>0</v>
      </c>
      <c r="K129" s="517"/>
      <c r="L129" s="473"/>
      <c r="M129" s="262"/>
    </row>
    <row r="130" spans="1:13" ht="14.5" x14ac:dyDescent="0.35">
      <c r="A130" s="192" t="s">
        <v>10</v>
      </c>
      <c r="B130" s="193">
        <v>45610</v>
      </c>
      <c r="C130" s="225">
        <v>571</v>
      </c>
      <c r="D130" s="226">
        <v>30</v>
      </c>
      <c r="E130" s="227">
        <v>0</v>
      </c>
      <c r="F130" s="227">
        <v>1</v>
      </c>
      <c r="G130" s="227" t="s">
        <v>686</v>
      </c>
      <c r="H130" s="693">
        <v>4</v>
      </c>
      <c r="I130" s="646">
        <v>0.12</v>
      </c>
      <c r="J130" s="751">
        <v>0</v>
      </c>
      <c r="K130" s="517"/>
      <c r="L130" s="473"/>
      <c r="M130" s="262"/>
    </row>
    <row r="131" spans="1:13" ht="14.5" x14ac:dyDescent="0.35">
      <c r="A131" s="192" t="s">
        <v>13</v>
      </c>
      <c r="B131" s="193">
        <v>45611</v>
      </c>
      <c r="C131" s="233">
        <v>596</v>
      </c>
      <c r="D131" s="195">
        <v>85</v>
      </c>
      <c r="E131" s="215">
        <v>0</v>
      </c>
      <c r="F131" s="215">
        <v>1</v>
      </c>
      <c r="G131" s="215" t="s">
        <v>687</v>
      </c>
      <c r="H131" s="615">
        <v>4</v>
      </c>
      <c r="I131" s="643">
        <v>0.16</v>
      </c>
      <c r="J131" s="748">
        <v>0</v>
      </c>
      <c r="K131" s="262"/>
      <c r="L131" s="262"/>
      <c r="M131" s="262"/>
    </row>
    <row r="132" spans="1:13" ht="14.5" x14ac:dyDescent="0.35">
      <c r="A132" s="192" t="s">
        <v>16</v>
      </c>
      <c r="B132" s="193">
        <v>45612</v>
      </c>
      <c r="C132" s="209">
        <v>2327</v>
      </c>
      <c r="D132" s="213">
        <v>0</v>
      </c>
      <c r="E132" s="203">
        <v>0</v>
      </c>
      <c r="F132" s="203">
        <v>4</v>
      </c>
      <c r="G132" s="203" t="s">
        <v>408</v>
      </c>
      <c r="H132" s="611">
        <v>19</v>
      </c>
      <c r="I132" s="641">
        <v>0.15</v>
      </c>
      <c r="J132" s="745">
        <v>0</v>
      </c>
      <c r="K132" s="262"/>
      <c r="L132" s="262"/>
      <c r="M132" s="262"/>
    </row>
    <row r="133" spans="1:13" ht="14.5" x14ac:dyDescent="0.35">
      <c r="A133" s="192" t="s">
        <v>18</v>
      </c>
      <c r="B133" s="193">
        <v>45613</v>
      </c>
      <c r="C133" s="233"/>
      <c r="D133" s="234"/>
      <c r="E133" s="215"/>
      <c r="F133" s="215"/>
      <c r="G133" s="235"/>
      <c r="H133" s="615"/>
      <c r="I133" s="643"/>
      <c r="J133" s="748"/>
      <c r="K133" s="262"/>
      <c r="L133" s="262"/>
      <c r="M133" s="262"/>
    </row>
    <row r="134" spans="1:13" ht="14.5" x14ac:dyDescent="0.35">
      <c r="A134" s="192" t="s">
        <v>20</v>
      </c>
      <c r="B134" s="193">
        <v>45614</v>
      </c>
      <c r="C134" s="237">
        <v>828</v>
      </c>
      <c r="D134" s="270">
        <v>30</v>
      </c>
      <c r="E134" s="239">
        <v>0</v>
      </c>
      <c r="F134" s="239">
        <v>2</v>
      </c>
      <c r="G134" s="239" t="s">
        <v>408</v>
      </c>
      <c r="H134" s="695">
        <v>6</v>
      </c>
      <c r="I134" s="649">
        <v>0.19</v>
      </c>
      <c r="J134" s="754">
        <v>0</v>
      </c>
      <c r="K134" s="262"/>
      <c r="L134" s="262"/>
      <c r="M134" s="262"/>
    </row>
    <row r="135" spans="1:13" ht="14.5" x14ac:dyDescent="0.35">
      <c r="A135" s="192" t="s">
        <v>22</v>
      </c>
      <c r="B135" s="193">
        <v>45615</v>
      </c>
      <c r="C135" s="214">
        <v>1641</v>
      </c>
      <c r="D135" s="195">
        <v>60</v>
      </c>
      <c r="E135" s="215">
        <v>0</v>
      </c>
      <c r="F135" s="215">
        <v>5</v>
      </c>
      <c r="G135" s="215" t="s">
        <v>593</v>
      </c>
      <c r="H135" s="615">
        <v>9</v>
      </c>
      <c r="I135" s="643">
        <v>0.2</v>
      </c>
      <c r="J135" s="748">
        <v>0</v>
      </c>
      <c r="K135" s="262"/>
      <c r="L135" s="262"/>
      <c r="M135" s="262"/>
    </row>
    <row r="136" spans="1:13" ht="14.5" x14ac:dyDescent="0.35">
      <c r="A136" s="192" t="s">
        <v>24</v>
      </c>
      <c r="B136" s="193">
        <v>45616</v>
      </c>
      <c r="C136" s="237">
        <v>465</v>
      </c>
      <c r="D136" s="238">
        <v>25</v>
      </c>
      <c r="E136" s="239">
        <v>0</v>
      </c>
      <c r="F136" s="239">
        <v>1</v>
      </c>
      <c r="G136" s="239" t="s">
        <v>688</v>
      </c>
      <c r="H136" s="695">
        <v>6</v>
      </c>
      <c r="I136" s="649">
        <v>0.2</v>
      </c>
      <c r="J136" s="754">
        <v>0</v>
      </c>
      <c r="K136" s="262"/>
      <c r="L136" s="262"/>
      <c r="M136" s="262"/>
    </row>
    <row r="137" spans="1:13" ht="14.5" x14ac:dyDescent="0.35">
      <c r="A137" s="192" t="s">
        <v>10</v>
      </c>
      <c r="B137" s="193">
        <v>45617</v>
      </c>
      <c r="C137" s="205">
        <v>1400</v>
      </c>
      <c r="D137" s="206">
        <v>0</v>
      </c>
      <c r="E137" s="207">
        <v>1</v>
      </c>
      <c r="F137" s="207">
        <v>2</v>
      </c>
      <c r="G137" s="207" t="s">
        <v>689</v>
      </c>
      <c r="H137" s="612">
        <v>7</v>
      </c>
      <c r="I137" s="642">
        <v>0.19</v>
      </c>
      <c r="J137" s="746">
        <v>0</v>
      </c>
      <c r="K137" s="262"/>
      <c r="L137" s="262"/>
      <c r="M137" s="262"/>
    </row>
    <row r="138" spans="1:13" ht="14.5" x14ac:dyDescent="0.35">
      <c r="A138" s="192" t="s">
        <v>13</v>
      </c>
      <c r="B138" s="193">
        <v>45618</v>
      </c>
      <c r="C138" s="209">
        <v>714</v>
      </c>
      <c r="D138" s="210">
        <v>0</v>
      </c>
      <c r="E138" s="211">
        <v>0</v>
      </c>
      <c r="F138" s="211">
        <v>1</v>
      </c>
      <c r="G138" s="211" t="s">
        <v>688</v>
      </c>
      <c r="H138" s="287">
        <v>6</v>
      </c>
      <c r="I138" s="650">
        <v>0.2</v>
      </c>
      <c r="J138" s="747">
        <v>0</v>
      </c>
      <c r="K138" s="262"/>
      <c r="L138" s="262"/>
      <c r="M138" s="262"/>
    </row>
    <row r="139" spans="1:13" ht="14.5" x14ac:dyDescent="0.35">
      <c r="A139" s="192" t="s">
        <v>16</v>
      </c>
      <c r="B139" s="193">
        <v>45619</v>
      </c>
      <c r="C139" s="233">
        <v>650</v>
      </c>
      <c r="D139" s="234">
        <v>0</v>
      </c>
      <c r="E139" s="235">
        <v>0</v>
      </c>
      <c r="F139" s="235">
        <v>3</v>
      </c>
      <c r="G139" s="235" t="s">
        <v>690</v>
      </c>
      <c r="H139" s="481">
        <v>10</v>
      </c>
      <c r="I139" s="648">
        <v>0.21</v>
      </c>
      <c r="J139" s="753">
        <v>0</v>
      </c>
      <c r="K139" s="262"/>
      <c r="L139" s="262"/>
      <c r="M139" s="262"/>
    </row>
    <row r="140" spans="1:13" ht="14.5" x14ac:dyDescent="0.35">
      <c r="A140" s="192" t="s">
        <v>18</v>
      </c>
      <c r="B140" s="193">
        <v>45620</v>
      </c>
      <c r="C140" s="237"/>
      <c r="D140" s="238"/>
      <c r="E140" s="239"/>
      <c r="F140" s="239"/>
      <c r="G140" s="239"/>
      <c r="H140" s="695"/>
      <c r="I140" s="649"/>
      <c r="J140" s="754"/>
      <c r="K140" s="262"/>
      <c r="L140" s="262"/>
      <c r="M140" s="262"/>
    </row>
    <row r="141" spans="1:13" ht="14.5" x14ac:dyDescent="0.35">
      <c r="A141" s="192" t="s">
        <v>20</v>
      </c>
      <c r="B141" s="193">
        <v>45621</v>
      </c>
      <c r="C141" s="233">
        <v>1211</v>
      </c>
      <c r="D141" s="234">
        <v>60</v>
      </c>
      <c r="E141" s="235">
        <v>2</v>
      </c>
      <c r="F141" s="235">
        <v>4</v>
      </c>
      <c r="G141" s="235" t="s">
        <v>691</v>
      </c>
      <c r="H141" s="481">
        <v>12</v>
      </c>
      <c r="I141" s="648">
        <v>0.21</v>
      </c>
      <c r="J141" s="753">
        <v>0</v>
      </c>
      <c r="K141" s="262"/>
      <c r="L141" s="262"/>
      <c r="M141" s="262"/>
    </row>
    <row r="142" spans="1:13" ht="14.5" x14ac:dyDescent="0.35">
      <c r="A142" s="192" t="s">
        <v>22</v>
      </c>
      <c r="B142" s="193">
        <v>45622</v>
      </c>
      <c r="C142" s="209">
        <v>2347</v>
      </c>
      <c r="D142" s="210">
        <v>100</v>
      </c>
      <c r="E142" s="211">
        <v>1</v>
      </c>
      <c r="F142" s="211">
        <v>3</v>
      </c>
      <c r="G142" s="211" t="s">
        <v>592</v>
      </c>
      <c r="H142" s="287">
        <v>6</v>
      </c>
      <c r="I142" s="650">
        <v>0.21</v>
      </c>
      <c r="J142" s="747">
        <v>0</v>
      </c>
      <c r="K142" s="262"/>
      <c r="L142" s="262"/>
      <c r="M142" s="262"/>
    </row>
    <row r="143" spans="1:13" ht="14.5" x14ac:dyDescent="0.35">
      <c r="A143" s="192" t="s">
        <v>24</v>
      </c>
      <c r="B143" s="193">
        <v>45623</v>
      </c>
      <c r="C143" s="214">
        <v>239</v>
      </c>
      <c r="D143" s="195">
        <v>0</v>
      </c>
      <c r="E143" s="215">
        <v>0</v>
      </c>
      <c r="F143" s="215">
        <v>1</v>
      </c>
      <c r="G143" s="215" t="s">
        <v>692</v>
      </c>
      <c r="H143" s="262">
        <v>4</v>
      </c>
      <c r="I143" s="648">
        <v>0.2</v>
      </c>
      <c r="J143" s="756">
        <v>0</v>
      </c>
      <c r="K143" s="262"/>
      <c r="L143" s="262"/>
      <c r="M143" s="262"/>
    </row>
    <row r="144" spans="1:13" ht="14.5" x14ac:dyDescent="0.35">
      <c r="A144" s="192" t="s">
        <v>10</v>
      </c>
      <c r="B144" s="193">
        <v>45624</v>
      </c>
      <c r="C144" s="212"/>
      <c r="D144" s="213"/>
      <c r="E144" s="203"/>
      <c r="F144" s="203"/>
      <c r="G144" s="215"/>
      <c r="H144" s="611"/>
      <c r="I144" s="641"/>
      <c r="J144" s="745"/>
      <c r="K144" s="262"/>
      <c r="L144" s="262"/>
      <c r="M144" s="262"/>
    </row>
    <row r="145" spans="1:13" ht="14.5" x14ac:dyDescent="0.35">
      <c r="A145" s="192" t="s">
        <v>13</v>
      </c>
      <c r="B145" s="193">
        <v>45625</v>
      </c>
      <c r="C145" s="233">
        <v>1153</v>
      </c>
      <c r="D145" s="195">
        <v>0</v>
      </c>
      <c r="E145" s="215">
        <v>0</v>
      </c>
      <c r="F145" s="247">
        <v>2</v>
      </c>
      <c r="G145" s="262" t="s">
        <v>693</v>
      </c>
      <c r="H145" s="615">
        <v>10</v>
      </c>
      <c r="I145" s="643">
        <v>0.23</v>
      </c>
      <c r="J145" s="748">
        <v>0</v>
      </c>
      <c r="K145" s="262"/>
      <c r="L145" s="262"/>
      <c r="M145" s="262"/>
    </row>
    <row r="146" spans="1:13" ht="14.5" x14ac:dyDescent="0.35">
      <c r="A146" s="192" t="s">
        <v>16</v>
      </c>
      <c r="B146" s="193">
        <v>45626</v>
      </c>
      <c r="C146" s="212">
        <v>2045</v>
      </c>
      <c r="D146" s="213">
        <v>30</v>
      </c>
      <c r="E146" s="203">
        <v>1</v>
      </c>
      <c r="F146" s="203">
        <v>2</v>
      </c>
      <c r="G146" s="203" t="s">
        <v>694</v>
      </c>
      <c r="H146" s="611">
        <v>11</v>
      </c>
      <c r="I146" s="641">
        <v>0.24</v>
      </c>
      <c r="J146" s="745">
        <v>1</v>
      </c>
      <c r="K146" s="262"/>
      <c r="L146" s="262"/>
      <c r="M146" s="262"/>
    </row>
    <row r="147" spans="1:13" thickBot="1" x14ac:dyDescent="0.4">
      <c r="A147" s="192"/>
      <c r="B147" s="193"/>
      <c r="C147" s="264"/>
      <c r="D147" s="265"/>
      <c r="E147" s="266"/>
      <c r="F147" s="266"/>
      <c r="G147" s="266" t="s">
        <v>589</v>
      </c>
      <c r="H147" s="696"/>
      <c r="I147" s="712"/>
      <c r="J147" s="755"/>
      <c r="K147" s="262"/>
      <c r="L147" s="262"/>
      <c r="M147" s="262"/>
    </row>
    <row r="148" spans="1:13" thickBot="1" x14ac:dyDescent="0.4">
      <c r="A148" s="257"/>
      <c r="B148" s="268"/>
      <c r="C148" s="258">
        <f>SUM(C117:C147)</f>
        <v>34911</v>
      </c>
      <c r="D148" s="259">
        <f>SUM(D117:D147)</f>
        <v>955</v>
      </c>
      <c r="E148" s="260">
        <f>SUM(E117:E147)</f>
        <v>6</v>
      </c>
      <c r="F148" s="260">
        <f>SUM(F117:F147)</f>
        <v>53</v>
      </c>
      <c r="G148" s="261"/>
      <c r="H148" s="261">
        <f>SUM(H117:H147)</f>
        <v>231</v>
      </c>
      <c r="I148" s="261"/>
      <c r="J148" s="261">
        <f>SUM(J117:J147)</f>
        <v>4</v>
      </c>
      <c r="K148" s="262"/>
      <c r="L148" s="262"/>
      <c r="M148" s="262"/>
    </row>
    <row r="149" spans="1:13" ht="14.5" x14ac:dyDescent="0.35">
      <c r="A149" s="262"/>
      <c r="B149" s="474"/>
      <c r="C149" s="475"/>
      <c r="D149" s="475"/>
      <c r="E149" s="476"/>
      <c r="F149" s="476"/>
      <c r="G149" s="477"/>
      <c r="H149" s="477"/>
      <c r="I149" s="262"/>
      <c r="J149" s="262"/>
      <c r="K149" s="262"/>
      <c r="L149" s="262"/>
      <c r="M149" s="262"/>
    </row>
    <row r="150" spans="1:13" ht="14.5" x14ac:dyDescent="0.35">
      <c r="A150" s="262"/>
      <c r="B150" s="474"/>
      <c r="C150" s="475"/>
      <c r="D150" s="475"/>
      <c r="E150" s="476"/>
      <c r="F150" s="476"/>
      <c r="G150" s="477"/>
      <c r="H150" s="477"/>
      <c r="I150" s="262"/>
      <c r="J150" s="262"/>
      <c r="K150" s="262"/>
      <c r="L150" s="262"/>
      <c r="M150" s="262"/>
    </row>
    <row r="151" spans="1:13" thickBot="1" x14ac:dyDescent="0.4">
      <c r="A151" s="262"/>
      <c r="B151" s="474"/>
      <c r="C151" s="475"/>
      <c r="D151" s="475"/>
      <c r="E151" s="476"/>
      <c r="F151" s="476"/>
      <c r="G151" s="477"/>
      <c r="H151" s="477"/>
      <c r="I151" s="262"/>
      <c r="J151" s="262"/>
      <c r="K151" s="262"/>
      <c r="L151" s="262"/>
      <c r="M151" s="262"/>
    </row>
    <row r="152" spans="1:13" ht="14.5" x14ac:dyDescent="0.35">
      <c r="A152" s="924" t="s">
        <v>85</v>
      </c>
      <c r="B152" s="938"/>
      <c r="C152" s="933" t="s">
        <v>1</v>
      </c>
      <c r="D152" s="944"/>
      <c r="E152" s="945"/>
      <c r="F152" s="262"/>
      <c r="G152" s="262"/>
      <c r="H152" s="262"/>
      <c r="I152" s="262"/>
      <c r="J152" s="262"/>
      <c r="K152" s="262"/>
      <c r="L152" s="262"/>
      <c r="M152" s="262"/>
    </row>
    <row r="153" spans="1:13" thickBot="1" x14ac:dyDescent="0.4">
      <c r="A153" s="939"/>
      <c r="B153" s="940"/>
      <c r="C153" s="946"/>
      <c r="D153" s="947"/>
      <c r="E153" s="947"/>
      <c r="F153" s="593"/>
      <c r="G153" s="262"/>
      <c r="H153" s="262"/>
      <c r="I153" s="262"/>
      <c r="J153" s="262"/>
      <c r="K153" s="262"/>
      <c r="L153" s="262"/>
      <c r="M153" s="262"/>
    </row>
    <row r="154" spans="1:13" ht="14.5" customHeight="1" x14ac:dyDescent="0.4">
      <c r="A154" s="939"/>
      <c r="B154" s="941"/>
      <c r="C154" s="921" t="s">
        <v>88</v>
      </c>
      <c r="D154" s="272" t="s">
        <v>89</v>
      </c>
      <c r="E154" s="273" t="s">
        <v>90</v>
      </c>
      <c r="F154" s="767" t="s">
        <v>91</v>
      </c>
      <c r="G154" s="769" t="s">
        <v>604</v>
      </c>
      <c r="H154" s="262"/>
      <c r="I154" s="262"/>
      <c r="J154" s="262"/>
      <c r="K154" s="262"/>
      <c r="L154" s="262"/>
      <c r="M154" s="262"/>
    </row>
    <row r="155" spans="1:13" ht="15" customHeight="1" thickBot="1" x14ac:dyDescent="0.4">
      <c r="A155" s="942"/>
      <c r="B155" s="943"/>
      <c r="C155" s="948"/>
      <c r="D155" s="275" t="s">
        <v>7</v>
      </c>
      <c r="E155" s="717" t="s">
        <v>0</v>
      </c>
      <c r="F155" s="768" t="s">
        <v>0</v>
      </c>
      <c r="G155" s="770" t="s">
        <v>605</v>
      </c>
      <c r="H155" s="262"/>
      <c r="I155" s="262"/>
      <c r="J155" s="262"/>
      <c r="K155" s="262"/>
      <c r="L155" s="262"/>
      <c r="M155" s="262"/>
    </row>
    <row r="156" spans="1:13" ht="16" customHeight="1" x14ac:dyDescent="0.35">
      <c r="A156" s="192" t="s">
        <v>13</v>
      </c>
      <c r="B156" s="193">
        <v>45597</v>
      </c>
      <c r="C156" s="285">
        <v>1409</v>
      </c>
      <c r="D156" s="262">
        <v>11</v>
      </c>
      <c r="E156" s="716">
        <v>2</v>
      </c>
      <c r="F156" s="616">
        <v>1</v>
      </c>
      <c r="G156" s="616"/>
      <c r="H156" s="262"/>
      <c r="I156" s="262"/>
      <c r="J156" s="262"/>
      <c r="K156" s="262"/>
      <c r="L156" s="262"/>
      <c r="M156" s="262"/>
    </row>
    <row r="157" spans="1:13" ht="14.5" customHeight="1" x14ac:dyDescent="0.35">
      <c r="A157" s="192" t="s">
        <v>16</v>
      </c>
      <c r="B157" s="193">
        <v>45598</v>
      </c>
      <c r="C157" s="280">
        <v>160</v>
      </c>
      <c r="D157" s="197">
        <v>7</v>
      </c>
      <c r="E157" s="675">
        <v>0</v>
      </c>
      <c r="F157" s="613">
        <v>1</v>
      </c>
      <c r="G157" s="613"/>
      <c r="H157" s="262"/>
      <c r="I157" s="262"/>
      <c r="J157" s="262"/>
      <c r="K157" s="262"/>
      <c r="L157" s="262"/>
      <c r="M157" s="262"/>
    </row>
    <row r="158" spans="1:13" ht="14.5" x14ac:dyDescent="0.35">
      <c r="A158" s="192" t="s">
        <v>18</v>
      </c>
      <c r="B158" s="193">
        <v>45599</v>
      </c>
      <c r="C158" s="479"/>
      <c r="D158" s="262"/>
      <c r="E158" s="681"/>
      <c r="F158" s="713"/>
      <c r="G158" s="713"/>
      <c r="H158" s="262"/>
      <c r="I158" s="262"/>
      <c r="J158" s="262"/>
      <c r="K158" s="262"/>
      <c r="L158" s="262"/>
      <c r="M158" s="262"/>
    </row>
    <row r="159" spans="1:13" ht="14.5" x14ac:dyDescent="0.35">
      <c r="A159" s="192" t="s">
        <v>20</v>
      </c>
      <c r="B159" s="193">
        <v>45600</v>
      </c>
      <c r="C159" s="280">
        <v>2748</v>
      </c>
      <c r="D159" s="197">
        <v>8</v>
      </c>
      <c r="E159" s="675">
        <v>0</v>
      </c>
      <c r="F159" s="613">
        <v>0</v>
      </c>
      <c r="G159" s="613"/>
      <c r="H159" s="262"/>
      <c r="I159" s="262"/>
      <c r="J159" s="262"/>
      <c r="K159" s="262"/>
      <c r="L159" s="262"/>
      <c r="M159" s="262"/>
    </row>
    <row r="160" spans="1:13" ht="14.5" x14ac:dyDescent="0.35">
      <c r="A160" s="192" t="s">
        <v>22</v>
      </c>
      <c r="B160" s="193">
        <v>45601</v>
      </c>
      <c r="C160" s="283">
        <v>2511</v>
      </c>
      <c r="D160" s="262">
        <v>14</v>
      </c>
      <c r="E160" s="682">
        <v>1</v>
      </c>
      <c r="F160" s="616">
        <v>0</v>
      </c>
      <c r="G160" s="616"/>
      <c r="H160" s="262"/>
      <c r="I160" s="262"/>
      <c r="J160" s="262"/>
      <c r="K160" s="262"/>
      <c r="L160" s="262"/>
      <c r="M160" s="262"/>
    </row>
    <row r="161" spans="1:13" ht="14.5" x14ac:dyDescent="0.35">
      <c r="A161" s="192" t="s">
        <v>24</v>
      </c>
      <c r="B161" s="193">
        <v>45602</v>
      </c>
      <c r="C161" s="283">
        <v>1683</v>
      </c>
      <c r="D161" s="197">
        <v>10</v>
      </c>
      <c r="E161" s="682">
        <v>1</v>
      </c>
      <c r="F161" s="616">
        <v>0</v>
      </c>
      <c r="G161" s="616"/>
      <c r="H161" s="262"/>
      <c r="I161" s="262"/>
      <c r="J161" s="262"/>
      <c r="K161" s="262"/>
      <c r="L161" s="262"/>
      <c r="M161" s="262"/>
    </row>
    <row r="162" spans="1:13" ht="14.5" x14ac:dyDescent="0.35">
      <c r="A162" s="192" t="s">
        <v>10</v>
      </c>
      <c r="B162" s="193">
        <v>45603</v>
      </c>
      <c r="C162" s="480">
        <v>1125</v>
      </c>
      <c r="D162" s="262">
        <v>9</v>
      </c>
      <c r="E162" s="680">
        <v>0</v>
      </c>
      <c r="F162" s="714">
        <v>0</v>
      </c>
      <c r="G162" s="714"/>
      <c r="H162" s="262"/>
      <c r="I162" s="262"/>
      <c r="J162" s="262"/>
      <c r="K162" s="262"/>
      <c r="L162" s="262"/>
      <c r="M162" s="262"/>
    </row>
    <row r="163" spans="1:13" ht="14.5" x14ac:dyDescent="0.35">
      <c r="A163" s="192" t="s">
        <v>13</v>
      </c>
      <c r="B163" s="193">
        <v>45604</v>
      </c>
      <c r="C163" s="285">
        <v>1128</v>
      </c>
      <c r="D163" s="197">
        <v>10</v>
      </c>
      <c r="E163" s="678">
        <v>1</v>
      </c>
      <c r="F163" s="715">
        <v>0</v>
      </c>
      <c r="G163" s="715"/>
      <c r="H163" s="262"/>
      <c r="I163" s="262"/>
      <c r="J163" s="262"/>
      <c r="K163" s="262"/>
      <c r="L163" s="262"/>
      <c r="M163" s="262"/>
    </row>
    <row r="164" spans="1:13" ht="14.5" x14ac:dyDescent="0.35">
      <c r="A164" s="192" t="s">
        <v>16</v>
      </c>
      <c r="B164" s="193">
        <v>45605</v>
      </c>
      <c r="C164" s="285">
        <v>596</v>
      </c>
      <c r="D164" s="262">
        <v>7</v>
      </c>
      <c r="E164" s="678">
        <v>1</v>
      </c>
      <c r="F164" s="715">
        <v>1</v>
      </c>
      <c r="G164" s="715"/>
      <c r="H164" s="262"/>
      <c r="I164" s="262"/>
      <c r="J164" s="262"/>
      <c r="K164" s="262"/>
      <c r="L164" s="262"/>
      <c r="M164" s="262"/>
    </row>
    <row r="165" spans="1:13" ht="14.5" x14ac:dyDescent="0.35">
      <c r="A165" s="192" t="s">
        <v>18</v>
      </c>
      <c r="B165" s="193">
        <v>45606</v>
      </c>
      <c r="C165" s="285"/>
      <c r="D165" s="197"/>
      <c r="E165" s="680"/>
      <c r="F165" s="714"/>
      <c r="G165" s="714"/>
      <c r="H165" s="262"/>
      <c r="I165" s="262"/>
      <c r="J165" s="262"/>
      <c r="K165" s="262"/>
      <c r="L165" s="262"/>
      <c r="M165" s="262"/>
    </row>
    <row r="166" spans="1:13" ht="14.5" x14ac:dyDescent="0.35">
      <c r="A166" s="192" t="s">
        <v>20</v>
      </c>
      <c r="B166" s="193">
        <v>45607</v>
      </c>
      <c r="C166" s="285">
        <v>2020</v>
      </c>
      <c r="D166" s="262">
        <v>8</v>
      </c>
      <c r="E166" s="678">
        <v>1</v>
      </c>
      <c r="F166" s="715">
        <v>0</v>
      </c>
      <c r="G166" s="715"/>
      <c r="H166" s="262"/>
      <c r="I166" s="262"/>
      <c r="J166" s="262"/>
      <c r="K166" s="262"/>
      <c r="L166" s="262"/>
      <c r="M166" s="262"/>
    </row>
    <row r="167" spans="1:13" ht="14.5" customHeight="1" x14ac:dyDescent="0.35">
      <c r="A167" s="192" t="s">
        <v>22</v>
      </c>
      <c r="B167" s="193">
        <v>45608</v>
      </c>
      <c r="C167" s="285">
        <v>200</v>
      </c>
      <c r="D167" s="197">
        <v>11</v>
      </c>
      <c r="E167" s="681">
        <v>0</v>
      </c>
      <c r="F167" s="713">
        <v>0</v>
      </c>
      <c r="G167" s="713"/>
      <c r="H167" s="262"/>
      <c r="I167" s="262"/>
      <c r="J167" s="262"/>
      <c r="K167" s="262"/>
      <c r="L167" s="262"/>
      <c r="M167" s="262"/>
    </row>
    <row r="168" spans="1:13" ht="15" customHeight="1" x14ac:dyDescent="0.35">
      <c r="A168" s="192" t="s">
        <v>24</v>
      </c>
      <c r="B168" s="193">
        <v>45609</v>
      </c>
      <c r="C168" s="285">
        <v>4435</v>
      </c>
      <c r="D168" s="262">
        <v>15</v>
      </c>
      <c r="E168" s="678">
        <v>1</v>
      </c>
      <c r="F168" s="715">
        <v>0</v>
      </c>
      <c r="G168" s="715"/>
      <c r="H168" s="262"/>
      <c r="I168" s="262"/>
      <c r="J168" s="262"/>
      <c r="K168" s="262"/>
      <c r="L168" s="262"/>
      <c r="M168" s="262"/>
    </row>
    <row r="169" spans="1:13" ht="16" customHeight="1" x14ac:dyDescent="0.35">
      <c r="A169" s="192" t="s">
        <v>10</v>
      </c>
      <c r="B169" s="193">
        <v>45610</v>
      </c>
      <c r="C169" s="285">
        <v>2630</v>
      </c>
      <c r="D169" s="197">
        <v>15</v>
      </c>
      <c r="E169" s="681">
        <v>1</v>
      </c>
      <c r="F169" s="713">
        <v>1</v>
      </c>
      <c r="G169" s="713"/>
      <c r="H169" s="262"/>
      <c r="I169" s="262"/>
      <c r="J169" s="262"/>
      <c r="K169" s="262"/>
      <c r="L169" s="262"/>
      <c r="M169" s="262"/>
    </row>
    <row r="170" spans="1:13" ht="14.5" customHeight="1" x14ac:dyDescent="0.35">
      <c r="A170" s="192" t="s">
        <v>13</v>
      </c>
      <c r="B170" s="193">
        <v>45611</v>
      </c>
      <c r="C170" s="285">
        <v>1387</v>
      </c>
      <c r="D170" s="262">
        <v>14</v>
      </c>
      <c r="E170" s="682">
        <v>0</v>
      </c>
      <c r="F170" s="616">
        <v>2</v>
      </c>
      <c r="G170" s="616"/>
      <c r="H170" s="262"/>
      <c r="I170" s="262"/>
      <c r="J170" s="262"/>
      <c r="K170" s="262"/>
      <c r="L170" s="262"/>
      <c r="M170" s="262"/>
    </row>
    <row r="171" spans="1:13" ht="14.5" x14ac:dyDescent="0.35">
      <c r="A171" s="192" t="s">
        <v>16</v>
      </c>
      <c r="B171" s="193">
        <v>45612</v>
      </c>
      <c r="C171" s="285">
        <v>718</v>
      </c>
      <c r="D171" s="286">
        <v>13</v>
      </c>
      <c r="E171" s="681">
        <v>0</v>
      </c>
      <c r="F171" s="713">
        <v>1</v>
      </c>
      <c r="G171" s="713"/>
      <c r="H171" s="262"/>
      <c r="I171" s="262"/>
      <c r="J171" s="262"/>
      <c r="K171" s="262"/>
      <c r="L171" s="262"/>
      <c r="M171" s="262"/>
    </row>
    <row r="172" spans="1:13" ht="14.5" x14ac:dyDescent="0.35">
      <c r="A172" s="192" t="s">
        <v>18</v>
      </c>
      <c r="B172" s="193">
        <v>45613</v>
      </c>
      <c r="C172" s="285"/>
      <c r="D172" s="481"/>
      <c r="E172" s="675"/>
      <c r="F172" s="613"/>
      <c r="G172" s="613"/>
      <c r="H172" s="262"/>
      <c r="I172" s="262"/>
      <c r="J172" s="262"/>
      <c r="K172" s="262"/>
      <c r="L172" s="262"/>
      <c r="M172" s="262"/>
    </row>
    <row r="173" spans="1:13" ht="14.5" x14ac:dyDescent="0.35">
      <c r="A173" s="192" t="s">
        <v>20</v>
      </c>
      <c r="B173" s="193">
        <v>45614</v>
      </c>
      <c r="C173" s="285">
        <v>1098</v>
      </c>
      <c r="D173" s="288">
        <v>9</v>
      </c>
      <c r="E173" s="682">
        <v>0</v>
      </c>
      <c r="F173" s="616">
        <v>0</v>
      </c>
      <c r="G173" s="616"/>
      <c r="H173" s="262"/>
      <c r="I173" s="262"/>
      <c r="J173" s="262"/>
      <c r="K173" s="262"/>
      <c r="L173" s="262"/>
      <c r="M173" s="262"/>
    </row>
    <row r="174" spans="1:13" ht="15.65" customHeight="1" x14ac:dyDescent="0.35">
      <c r="A174" s="192" t="s">
        <v>22</v>
      </c>
      <c r="B174" s="193">
        <v>45615</v>
      </c>
      <c r="C174" s="285">
        <v>6295</v>
      </c>
      <c r="D174" s="481">
        <v>16</v>
      </c>
      <c r="E174" s="675">
        <v>0</v>
      </c>
      <c r="F174" s="613">
        <v>1</v>
      </c>
      <c r="G174" s="613"/>
      <c r="H174" s="262"/>
      <c r="I174" s="262"/>
      <c r="J174" s="262"/>
      <c r="K174" s="262"/>
      <c r="L174" s="262"/>
      <c r="M174" s="262"/>
    </row>
    <row r="175" spans="1:13" ht="14.5" x14ac:dyDescent="0.35">
      <c r="A175" s="192" t="s">
        <v>24</v>
      </c>
      <c r="B175" s="193">
        <v>45616</v>
      </c>
      <c r="C175" s="285">
        <v>1199</v>
      </c>
      <c r="D175" s="286">
        <v>11</v>
      </c>
      <c r="E175" s="675">
        <v>0</v>
      </c>
      <c r="F175" s="613">
        <v>0</v>
      </c>
      <c r="G175" s="613"/>
      <c r="H175" s="262"/>
      <c r="I175" s="262"/>
      <c r="J175" s="262"/>
      <c r="K175" s="262"/>
      <c r="L175" s="262"/>
      <c r="M175" s="262"/>
    </row>
    <row r="176" spans="1:13" ht="14.5" x14ac:dyDescent="0.35">
      <c r="A176" s="192" t="s">
        <v>10</v>
      </c>
      <c r="B176" s="193">
        <v>45617</v>
      </c>
      <c r="C176" s="285">
        <v>2621</v>
      </c>
      <c r="D176" s="481">
        <v>16</v>
      </c>
      <c r="E176" s="681">
        <v>0</v>
      </c>
      <c r="F176" s="713">
        <v>1</v>
      </c>
      <c r="G176" s="713">
        <v>1</v>
      </c>
      <c r="H176" s="262"/>
      <c r="I176" s="262"/>
      <c r="J176" s="262"/>
      <c r="K176" s="262"/>
      <c r="L176" s="262"/>
      <c r="M176" s="262"/>
    </row>
    <row r="177" spans="1:14" ht="14.5" x14ac:dyDescent="0.35">
      <c r="A177" s="192" t="s">
        <v>13</v>
      </c>
      <c r="B177" s="193">
        <v>45618</v>
      </c>
      <c r="C177" s="285">
        <v>527</v>
      </c>
      <c r="D177" s="286">
        <v>10</v>
      </c>
      <c r="E177" s="681">
        <v>1</v>
      </c>
      <c r="F177" s="713">
        <v>1</v>
      </c>
      <c r="G177" s="713">
        <v>3</v>
      </c>
      <c r="H177" s="262"/>
      <c r="I177" s="262"/>
      <c r="J177" s="262"/>
      <c r="K177" s="262"/>
      <c r="L177" s="262"/>
      <c r="M177" s="262"/>
    </row>
    <row r="178" spans="1:14" ht="14.5" x14ac:dyDescent="0.35">
      <c r="A178" s="192" t="s">
        <v>16</v>
      </c>
      <c r="B178" s="193">
        <v>45619</v>
      </c>
      <c r="C178" s="285">
        <v>605</v>
      </c>
      <c r="D178" s="481">
        <v>12</v>
      </c>
      <c r="E178" s="675">
        <v>1</v>
      </c>
      <c r="F178" s="613">
        <v>0</v>
      </c>
      <c r="G178" s="613">
        <v>2</v>
      </c>
      <c r="H178" s="262"/>
      <c r="I178" s="262"/>
      <c r="J178" s="262"/>
      <c r="K178" s="262"/>
      <c r="L178" s="262"/>
      <c r="M178" s="262"/>
    </row>
    <row r="179" spans="1:14" ht="14.5" x14ac:dyDescent="0.35">
      <c r="A179" s="192" t="s">
        <v>18</v>
      </c>
      <c r="B179" s="193">
        <v>45620</v>
      </c>
      <c r="C179" s="285"/>
      <c r="D179" s="286"/>
      <c r="E179" s="681"/>
      <c r="F179" s="713"/>
      <c r="G179" s="713"/>
      <c r="H179" s="262"/>
      <c r="I179" s="262"/>
      <c r="J179" s="262"/>
      <c r="K179" s="262"/>
      <c r="L179" s="262"/>
      <c r="M179" s="262"/>
    </row>
    <row r="180" spans="1:14" ht="14.5" x14ac:dyDescent="0.35">
      <c r="A180" s="192" t="s">
        <v>20</v>
      </c>
      <c r="B180" s="193">
        <v>45621</v>
      </c>
      <c r="C180" s="482">
        <v>4108</v>
      </c>
      <c r="D180" s="481">
        <v>9</v>
      </c>
      <c r="E180" s="681">
        <v>0</v>
      </c>
      <c r="F180" s="713">
        <v>0</v>
      </c>
      <c r="G180" s="713">
        <v>0</v>
      </c>
      <c r="H180" s="262"/>
      <c r="I180" s="262"/>
      <c r="J180" s="262"/>
      <c r="K180" s="262"/>
      <c r="L180" s="262"/>
      <c r="M180" s="262"/>
    </row>
    <row r="181" spans="1:14" ht="14.5" x14ac:dyDescent="0.35">
      <c r="A181" s="192" t="s">
        <v>22</v>
      </c>
      <c r="B181" s="193">
        <v>45622</v>
      </c>
      <c r="C181" s="290">
        <v>3196</v>
      </c>
      <c r="D181" s="286">
        <v>15</v>
      </c>
      <c r="E181" s="682">
        <v>0</v>
      </c>
      <c r="F181" s="616">
        <v>1</v>
      </c>
      <c r="G181" s="616">
        <v>2</v>
      </c>
      <c r="H181" s="262"/>
      <c r="I181" s="262"/>
      <c r="J181" s="262"/>
      <c r="K181" s="262"/>
      <c r="L181" s="262"/>
      <c r="M181" s="262"/>
    </row>
    <row r="182" spans="1:14" ht="14.5" x14ac:dyDescent="0.35">
      <c r="A182" s="192" t="s">
        <v>24</v>
      </c>
      <c r="B182" s="193">
        <v>45623</v>
      </c>
      <c r="C182" s="290">
        <v>2870</v>
      </c>
      <c r="D182" s="481">
        <v>9</v>
      </c>
      <c r="E182" s="682">
        <v>1</v>
      </c>
      <c r="F182" s="616">
        <v>0</v>
      </c>
      <c r="G182" s="616">
        <v>0</v>
      </c>
      <c r="H182" s="262"/>
      <c r="I182" s="262"/>
      <c r="J182" s="262"/>
      <c r="K182" s="262"/>
      <c r="L182" s="262"/>
      <c r="M182" s="262"/>
    </row>
    <row r="183" spans="1:14" ht="14.5" x14ac:dyDescent="0.35">
      <c r="A183" s="192" t="s">
        <v>10</v>
      </c>
      <c r="B183" s="193">
        <v>45624</v>
      </c>
      <c r="C183" s="290"/>
      <c r="D183" s="286"/>
      <c r="E183" s="682"/>
      <c r="F183" s="616"/>
      <c r="G183" s="616"/>
      <c r="H183" s="262"/>
      <c r="I183" s="262"/>
      <c r="J183" s="262"/>
      <c r="K183" s="262"/>
      <c r="L183" s="262"/>
      <c r="M183" s="262"/>
    </row>
    <row r="184" spans="1:14" ht="14.5" x14ac:dyDescent="0.35">
      <c r="A184" s="192" t="s">
        <v>13</v>
      </c>
      <c r="B184" s="193">
        <v>45625</v>
      </c>
      <c r="C184" s="290">
        <v>270</v>
      </c>
      <c r="D184" s="481">
        <v>10</v>
      </c>
      <c r="E184" s="682">
        <v>0</v>
      </c>
      <c r="F184" s="616">
        <v>1</v>
      </c>
      <c r="G184" s="616">
        <v>0</v>
      </c>
      <c r="H184" s="262"/>
      <c r="I184" s="262"/>
      <c r="J184" s="262"/>
      <c r="K184" s="262"/>
      <c r="L184" s="262"/>
      <c r="M184" s="262"/>
    </row>
    <row r="185" spans="1:14" ht="14.5" x14ac:dyDescent="0.35">
      <c r="A185" s="192" t="s">
        <v>16</v>
      </c>
      <c r="B185" s="193">
        <v>45626</v>
      </c>
      <c r="C185" s="290">
        <v>385</v>
      </c>
      <c r="D185" s="262">
        <v>6</v>
      </c>
      <c r="E185" s="682">
        <v>0</v>
      </c>
      <c r="F185" s="616">
        <v>0</v>
      </c>
      <c r="G185" s="616">
        <v>5</v>
      </c>
      <c r="H185" s="262"/>
      <c r="I185" s="262"/>
      <c r="J185" s="262"/>
      <c r="K185" s="262"/>
      <c r="L185" s="262"/>
      <c r="M185" s="262"/>
    </row>
    <row r="186" spans="1:14" thickBot="1" x14ac:dyDescent="0.4">
      <c r="A186" s="192"/>
      <c r="B186" s="583"/>
      <c r="C186" s="718"/>
      <c r="D186" s="719"/>
      <c r="E186" s="720"/>
      <c r="F186" s="721"/>
      <c r="G186" s="721"/>
      <c r="H186" s="262"/>
      <c r="I186" s="262"/>
      <c r="J186" s="262"/>
      <c r="K186" s="262"/>
      <c r="L186" s="262"/>
      <c r="M186" s="262"/>
    </row>
    <row r="187" spans="1:14" ht="14.5" x14ac:dyDescent="0.35">
      <c r="A187" s="257"/>
      <c r="B187" s="483"/>
      <c r="C187" s="484">
        <f>SUM(C155:C186)</f>
        <v>45924</v>
      </c>
      <c r="D187" s="485">
        <f>SUM(D155:D186)</f>
        <v>275</v>
      </c>
      <c r="E187" s="486">
        <f>SUM(E155:E186)</f>
        <v>12</v>
      </c>
      <c r="F187" s="487">
        <f>SUM(F155:F186)</f>
        <v>12</v>
      </c>
      <c r="G187" s="487">
        <f>SUM(G155:G186)</f>
        <v>13</v>
      </c>
      <c r="H187" s="262"/>
      <c r="I187" s="262"/>
      <c r="J187" s="262"/>
      <c r="K187" s="262"/>
      <c r="L187" s="262"/>
      <c r="M187" s="262"/>
    </row>
    <row r="188" spans="1:14" ht="14.5" x14ac:dyDescent="0.35">
      <c r="A188" s="262"/>
      <c r="B188" s="433"/>
      <c r="C188" s="508"/>
      <c r="D188" s="262"/>
      <c r="E188" s="508"/>
      <c r="F188" s="262"/>
      <c r="G188" s="262"/>
      <c r="H188" s="262"/>
      <c r="I188" s="262"/>
      <c r="J188" s="262"/>
      <c r="K188" s="262"/>
      <c r="L188" s="262"/>
    </row>
    <row r="189" spans="1:14" ht="14.5" x14ac:dyDescent="0.35">
      <c r="A189" s="262"/>
      <c r="B189" s="262"/>
      <c r="C189" s="511"/>
      <c r="D189" s="511"/>
      <c r="E189" s="475"/>
      <c r="F189" s="511"/>
      <c r="G189" s="511"/>
      <c r="H189" s="262"/>
      <c r="I189" s="262"/>
      <c r="J189" s="262"/>
      <c r="K189" s="262"/>
      <c r="L189" s="262"/>
      <c r="M189" s="262"/>
    </row>
    <row r="190" spans="1:14" thickBot="1" x14ac:dyDescent="0.4">
      <c r="A190" s="262"/>
      <c r="D190" s="511"/>
    </row>
    <row r="191" spans="1:14" ht="14.5" x14ac:dyDescent="0.35">
      <c r="A191" s="520"/>
      <c r="B191" s="521" t="s">
        <v>109</v>
      </c>
      <c r="C191" s="757" t="s">
        <v>93</v>
      </c>
      <c r="D191" s="762" t="s">
        <v>111</v>
      </c>
      <c r="E191" s="518" t="s">
        <v>112</v>
      </c>
      <c r="F191" s="518" t="s">
        <v>113</v>
      </c>
      <c r="G191" s="518" t="s">
        <v>114</v>
      </c>
      <c r="H191" s="518" t="s">
        <v>103</v>
      </c>
      <c r="I191" s="518" t="s">
        <v>104</v>
      </c>
      <c r="J191" s="518" t="s">
        <v>105</v>
      </c>
      <c r="K191" s="518" t="s">
        <v>106</v>
      </c>
      <c r="L191" s="521" t="s">
        <v>107</v>
      </c>
      <c r="M191" s="521" t="s">
        <v>108</v>
      </c>
      <c r="N191" s="569" t="s">
        <v>98</v>
      </c>
    </row>
    <row r="192" spans="1:14" ht="14.5" x14ac:dyDescent="0.35">
      <c r="A192" s="434" t="s">
        <v>99</v>
      </c>
      <c r="B192" s="469">
        <f>C35/25*25</f>
        <v>53912</v>
      </c>
      <c r="C192" s="758">
        <f>B192-68000</f>
        <v>-14088</v>
      </c>
      <c r="D192" s="763">
        <v>59678</v>
      </c>
      <c r="E192" s="525">
        <v>65325</v>
      </c>
      <c r="F192" s="526">
        <v>71363</v>
      </c>
      <c r="G192" s="526">
        <v>75374</v>
      </c>
      <c r="H192" s="527">
        <v>72600</v>
      </c>
      <c r="I192" s="574">
        <v>72030</v>
      </c>
      <c r="J192" s="574">
        <v>72545</v>
      </c>
      <c r="K192" s="527">
        <v>75155</v>
      </c>
      <c r="L192" s="585">
        <v>62987</v>
      </c>
      <c r="M192" s="620">
        <v>64844</v>
      </c>
      <c r="N192" s="570">
        <f>AVERAGE(D192:M192)</f>
        <v>69190.100000000006</v>
      </c>
    </row>
    <row r="193" spans="1:14" ht="14.5" x14ac:dyDescent="0.35">
      <c r="A193" s="439" t="s">
        <v>37</v>
      </c>
      <c r="B193" s="469">
        <f>C74/25*25</f>
        <v>41310</v>
      </c>
      <c r="C193" s="758">
        <f>B193-52000</f>
        <v>-10690</v>
      </c>
      <c r="D193" s="763">
        <v>43365</v>
      </c>
      <c r="E193" s="525">
        <v>38287</v>
      </c>
      <c r="F193" s="526">
        <v>45858</v>
      </c>
      <c r="G193" s="526">
        <v>55612</v>
      </c>
      <c r="H193" s="527">
        <v>53980</v>
      </c>
      <c r="I193" s="574">
        <v>49420</v>
      </c>
      <c r="J193" s="574">
        <v>54821</v>
      </c>
      <c r="K193" s="527">
        <v>56018</v>
      </c>
      <c r="L193" s="585">
        <v>60228</v>
      </c>
      <c r="M193" s="620">
        <v>54103</v>
      </c>
      <c r="N193" s="570">
        <f>AVERAGE(D193:M193)</f>
        <v>51169.2</v>
      </c>
    </row>
    <row r="194" spans="1:14" ht="14.5" x14ac:dyDescent="0.35">
      <c r="A194" s="439" t="s">
        <v>100</v>
      </c>
      <c r="B194" s="469">
        <f>C110/25*25</f>
        <v>57204</v>
      </c>
      <c r="C194" s="758">
        <f>B194-60000</f>
        <v>-2796</v>
      </c>
      <c r="D194" s="763">
        <v>43344</v>
      </c>
      <c r="E194" s="525">
        <v>54088</v>
      </c>
      <c r="F194" s="526">
        <v>56961</v>
      </c>
      <c r="G194" s="526">
        <v>56144</v>
      </c>
      <c r="H194" s="527">
        <v>54118</v>
      </c>
      <c r="I194" s="574">
        <v>58320</v>
      </c>
      <c r="J194" s="574">
        <v>51390</v>
      </c>
      <c r="K194" s="527">
        <v>60136.999999999993</v>
      </c>
      <c r="L194" s="585">
        <v>56294</v>
      </c>
      <c r="M194" s="620">
        <v>71263</v>
      </c>
      <c r="N194" s="570">
        <f>AVERAGE(D194:M194)</f>
        <v>56205.9</v>
      </c>
    </row>
    <row r="195" spans="1:14" ht="14.5" x14ac:dyDescent="0.35">
      <c r="A195" s="463" t="s">
        <v>70</v>
      </c>
      <c r="B195" s="469">
        <f>C148/25*25</f>
        <v>34911</v>
      </c>
      <c r="C195" s="758">
        <f>B195-40000</f>
        <v>-5089</v>
      </c>
      <c r="D195" s="764"/>
      <c r="E195" s="530"/>
      <c r="F195" s="531"/>
      <c r="G195" s="531"/>
      <c r="H195" s="532"/>
      <c r="I195" s="575"/>
      <c r="J195" s="575">
        <v>15641</v>
      </c>
      <c r="K195" s="527">
        <v>49296</v>
      </c>
      <c r="L195" s="585">
        <v>46460</v>
      </c>
      <c r="M195" s="620">
        <v>38381</v>
      </c>
      <c r="N195" s="570">
        <f>AVERAGE(K195:M195)</f>
        <v>44712.333333333336</v>
      </c>
    </row>
    <row r="196" spans="1:14" thickBot="1" x14ac:dyDescent="0.4">
      <c r="A196" s="440" t="s">
        <v>88</v>
      </c>
      <c r="B196" s="760">
        <f>C187/25*25</f>
        <v>45924</v>
      </c>
      <c r="C196" s="761"/>
      <c r="D196" s="763">
        <v>34063</v>
      </c>
      <c r="E196" s="525">
        <v>44190</v>
      </c>
      <c r="F196" s="526">
        <v>32129</v>
      </c>
      <c r="G196" s="526">
        <v>67460</v>
      </c>
      <c r="H196" s="527">
        <v>57984</v>
      </c>
      <c r="I196" s="574">
        <v>47444</v>
      </c>
      <c r="J196" s="574">
        <v>56888</v>
      </c>
      <c r="K196" s="576">
        <v>64418</v>
      </c>
      <c r="L196" s="585">
        <v>47105</v>
      </c>
      <c r="M196" s="620">
        <v>51582</v>
      </c>
      <c r="N196" s="570">
        <f>AVERAGE(D196:M196)</f>
        <v>50326.3</v>
      </c>
    </row>
    <row r="197" spans="1:14" thickBot="1" x14ac:dyDescent="0.4">
      <c r="A197" s="441" t="s">
        <v>101</v>
      </c>
      <c r="B197" s="765">
        <f>SUM(B192:B196)</f>
        <v>233261</v>
      </c>
      <c r="C197" s="766">
        <f>SUM(C192:C196)</f>
        <v>-32663</v>
      </c>
      <c r="D197" s="571">
        <v>180450</v>
      </c>
      <c r="E197" s="572">
        <f>SUM(E192:E196)</f>
        <v>201890</v>
      </c>
      <c r="F197" s="572">
        <f>SUM(F192:F196)</f>
        <v>206311</v>
      </c>
      <c r="G197" s="572">
        <f>SUM(G192:G196)</f>
        <v>254590</v>
      </c>
      <c r="H197" s="572">
        <f>SUM(H192:H196)</f>
        <v>238682</v>
      </c>
      <c r="I197" s="572">
        <f>SUM(I192:I196)</f>
        <v>227214</v>
      </c>
      <c r="J197" s="572">
        <v>251285</v>
      </c>
      <c r="K197" s="573">
        <v>305024</v>
      </c>
      <c r="L197" s="586">
        <f>SUM(L192:L196)</f>
        <v>273074</v>
      </c>
      <c r="M197" s="621">
        <v>280173</v>
      </c>
      <c r="N197" s="536">
        <f>AVERAGE(D197:L197)</f>
        <v>237613.33333333334</v>
      </c>
    </row>
    <row r="198" spans="1:14" ht="14.5" x14ac:dyDescent="0.35">
      <c r="B198" s="444">
        <f>B197/25</f>
        <v>9330.44</v>
      </c>
      <c r="D198" s="446">
        <f>D197/27</f>
        <v>6683.333333333333</v>
      </c>
      <c r="E198" s="446">
        <f>E197/25</f>
        <v>8075.6</v>
      </c>
      <c r="F198" s="446">
        <f>F197/26</f>
        <v>7935.0384615384619</v>
      </c>
      <c r="G198" s="446">
        <f>G197/26</f>
        <v>9791.9230769230762</v>
      </c>
      <c r="H198" s="446">
        <f>H197/26</f>
        <v>9180.0769230769238</v>
      </c>
      <c r="I198" s="446">
        <f>I197/25</f>
        <v>9088.56</v>
      </c>
      <c r="J198" s="446">
        <v>9664.8076923076915</v>
      </c>
      <c r="K198" s="446">
        <v>11297.185185185184</v>
      </c>
      <c r="L198" s="446">
        <f>L197/27</f>
        <v>10113.851851851852</v>
      </c>
      <c r="M198" s="446">
        <f>M197/27</f>
        <v>10376.777777777777</v>
      </c>
      <c r="N198" s="446">
        <f>AVERAGE(D198:K198)</f>
        <v>8964.5655840455838</v>
      </c>
    </row>
    <row r="199" spans="1:14" ht="14.5" x14ac:dyDescent="0.35">
      <c r="B199" s="523"/>
      <c r="C199" s="433"/>
      <c r="D199" s="262"/>
      <c r="E199" s="262"/>
      <c r="F199" s="262"/>
      <c r="G199" s="262"/>
      <c r="H199" s="262"/>
      <c r="I199" s="262"/>
      <c r="J199" s="262"/>
      <c r="K199" s="262"/>
      <c r="L199" s="262"/>
    </row>
    <row r="200" spans="1:14" ht="14.5" x14ac:dyDescent="0.35">
      <c r="A200" s="538" t="s">
        <v>102</v>
      </c>
      <c r="B200" s="538" t="s">
        <v>122</v>
      </c>
      <c r="C200" s="539" t="s">
        <v>123</v>
      </c>
      <c r="D200" s="538" t="s">
        <v>124</v>
      </c>
      <c r="E200" s="538" t="s">
        <v>125</v>
      </c>
      <c r="F200" s="538" t="s">
        <v>126</v>
      </c>
      <c r="G200" s="538" t="s">
        <v>127</v>
      </c>
      <c r="H200" s="538" t="s">
        <v>116</v>
      </c>
      <c r="I200" s="539" t="s">
        <v>117</v>
      </c>
      <c r="J200" s="538" t="s">
        <v>118</v>
      </c>
      <c r="K200" s="538" t="s">
        <v>119</v>
      </c>
      <c r="L200" s="538" t="s">
        <v>120</v>
      </c>
      <c r="M200" s="538" t="s">
        <v>121</v>
      </c>
      <c r="N200" s="342" t="s">
        <v>98</v>
      </c>
    </row>
    <row r="201" spans="1:14" ht="14.5" x14ac:dyDescent="0.35">
      <c r="A201" s="540" t="s">
        <v>99</v>
      </c>
      <c r="B201" s="540">
        <v>62927</v>
      </c>
      <c r="C201" s="541">
        <v>50792</v>
      </c>
      <c r="D201" s="540">
        <v>55786</v>
      </c>
      <c r="E201" s="540">
        <v>48081</v>
      </c>
      <c r="F201" s="540">
        <v>66142</v>
      </c>
      <c r="G201" s="540">
        <v>58127</v>
      </c>
      <c r="H201" s="540">
        <v>74979</v>
      </c>
      <c r="I201" s="541">
        <v>63950</v>
      </c>
      <c r="J201" s="540">
        <v>73973</v>
      </c>
      <c r="K201" s="540">
        <v>63776</v>
      </c>
      <c r="L201" s="540">
        <v>62209</v>
      </c>
      <c r="M201" s="540">
        <v>61961</v>
      </c>
      <c r="N201" s="330">
        <f>AVERAGE(B201:I201)</f>
        <v>60098</v>
      </c>
    </row>
    <row r="202" spans="1:14" ht="14.5" x14ac:dyDescent="0.35">
      <c r="A202" s="540" t="s">
        <v>37</v>
      </c>
      <c r="B202" s="540">
        <v>44217</v>
      </c>
      <c r="C202" s="541">
        <v>42911</v>
      </c>
      <c r="D202" s="540">
        <v>40388</v>
      </c>
      <c r="E202" s="540">
        <v>32034</v>
      </c>
      <c r="F202" s="540">
        <v>38086</v>
      </c>
      <c r="G202" s="540">
        <v>42706</v>
      </c>
      <c r="H202" s="540">
        <v>48870</v>
      </c>
      <c r="I202" s="541">
        <v>44783</v>
      </c>
      <c r="J202" s="540">
        <v>58612</v>
      </c>
      <c r="K202" s="540">
        <v>59247</v>
      </c>
      <c r="L202" s="540">
        <v>49882</v>
      </c>
      <c r="M202" s="540">
        <v>42564</v>
      </c>
      <c r="N202" s="330">
        <f>AVERAGE(B202:I202)</f>
        <v>41749.375</v>
      </c>
    </row>
    <row r="203" spans="1:14" ht="14.5" x14ac:dyDescent="0.35">
      <c r="A203" s="540" t="s">
        <v>100</v>
      </c>
      <c r="B203" s="540">
        <v>45889</v>
      </c>
      <c r="C203" s="541">
        <v>42002</v>
      </c>
      <c r="D203" s="540">
        <v>29164</v>
      </c>
      <c r="E203" s="540">
        <v>24425</v>
      </c>
      <c r="F203" s="540">
        <v>32384</v>
      </c>
      <c r="G203" s="540">
        <v>26635</v>
      </c>
      <c r="H203" s="540">
        <v>38487</v>
      </c>
      <c r="I203" s="541">
        <v>41827</v>
      </c>
      <c r="J203" s="540">
        <v>48432</v>
      </c>
      <c r="K203" s="540">
        <v>45807</v>
      </c>
      <c r="L203" s="540">
        <v>47219</v>
      </c>
      <c r="M203" s="540">
        <v>49140</v>
      </c>
      <c r="N203" s="330">
        <f>AVERAGE(B203:I203)</f>
        <v>35101.625</v>
      </c>
    </row>
    <row r="204" spans="1:14" ht="14.5" x14ac:dyDescent="0.35">
      <c r="A204" s="540" t="s">
        <v>88</v>
      </c>
      <c r="B204" s="540">
        <v>75185</v>
      </c>
      <c r="C204" s="541">
        <v>62889</v>
      </c>
      <c r="D204" s="540">
        <v>78647</v>
      </c>
      <c r="E204" s="540">
        <v>71233</v>
      </c>
      <c r="F204" s="540">
        <v>80881</v>
      </c>
      <c r="G204" s="540">
        <v>89693</v>
      </c>
      <c r="H204" s="540">
        <v>115741.16666666666</v>
      </c>
      <c r="I204" s="541">
        <v>92550</v>
      </c>
      <c r="J204" s="540">
        <v>102728</v>
      </c>
      <c r="K204" s="540">
        <v>102029</v>
      </c>
      <c r="L204" s="540">
        <v>73495</v>
      </c>
      <c r="M204" s="540">
        <v>77358</v>
      </c>
      <c r="N204" s="330">
        <f>AVERAGE(B204:I204)</f>
        <v>83352.395833333328</v>
      </c>
    </row>
    <row r="205" spans="1:14" ht="14.5" x14ac:dyDescent="0.35">
      <c r="A205" s="542" t="s">
        <v>101</v>
      </c>
      <c r="B205" s="543">
        <v>228218</v>
      </c>
      <c r="C205" s="544">
        <v>198594</v>
      </c>
      <c r="D205" s="543">
        <v>203985</v>
      </c>
      <c r="E205" s="543">
        <v>175773</v>
      </c>
      <c r="F205" s="543">
        <v>217493</v>
      </c>
      <c r="G205" s="543">
        <v>217161</v>
      </c>
      <c r="H205" s="543">
        <f>SUM(H201:H204)</f>
        <v>278077.16666666663</v>
      </c>
      <c r="I205" s="543">
        <f>SUM(I201:I204)</f>
        <v>243110</v>
      </c>
      <c r="J205" s="543">
        <v>283745</v>
      </c>
      <c r="K205" s="543">
        <v>270859</v>
      </c>
      <c r="L205" s="543">
        <v>232805</v>
      </c>
      <c r="M205" s="543">
        <v>231023</v>
      </c>
      <c r="N205" s="536">
        <f>AVERAGE(B205:I205)</f>
        <v>220301.39583333331</v>
      </c>
    </row>
    <row r="206" spans="1:14" ht="14.5" x14ac:dyDescent="0.35">
      <c r="A206" s="545" t="s">
        <v>607</v>
      </c>
      <c r="E206" s="262"/>
      <c r="F206" s="262"/>
      <c r="G206" s="262"/>
      <c r="H206" s="262"/>
      <c r="I206" s="262"/>
    </row>
    <row r="207" spans="1:14" ht="14.5" x14ac:dyDescent="0.35"/>
    <row r="208" spans="1:14" ht="14.5" x14ac:dyDescent="0.35">
      <c r="A208" s="538" t="s">
        <v>102</v>
      </c>
      <c r="B208" s="538" t="s">
        <v>134</v>
      </c>
      <c r="C208" s="539" t="s">
        <v>135</v>
      </c>
      <c r="D208" s="546" t="s">
        <v>136</v>
      </c>
      <c r="E208" s="538" t="s">
        <v>137</v>
      </c>
      <c r="F208" s="538" t="s">
        <v>138</v>
      </c>
      <c r="G208" s="538" t="s">
        <v>139</v>
      </c>
      <c r="H208" s="538" t="s">
        <v>128</v>
      </c>
      <c r="I208" s="539" t="s">
        <v>129</v>
      </c>
      <c r="J208" s="538" t="s">
        <v>130</v>
      </c>
      <c r="K208" s="538" t="s">
        <v>131</v>
      </c>
      <c r="L208" s="538" t="s">
        <v>132</v>
      </c>
      <c r="M208" s="538" t="s">
        <v>133</v>
      </c>
      <c r="N208" s="342" t="s">
        <v>98</v>
      </c>
    </row>
    <row r="209" spans="1:14" ht="14.5" x14ac:dyDescent="0.35">
      <c r="A209" s="547" t="s">
        <v>99</v>
      </c>
      <c r="B209" s="549">
        <v>43776</v>
      </c>
      <c r="C209" s="550">
        <v>49810</v>
      </c>
      <c r="D209" s="525">
        <v>75616</v>
      </c>
      <c r="E209" s="548">
        <v>68029</v>
      </c>
      <c r="F209" s="548">
        <v>59606</v>
      </c>
      <c r="G209" s="548">
        <v>63396</v>
      </c>
      <c r="H209" s="548">
        <v>52819.21</v>
      </c>
      <c r="I209" s="551">
        <v>53324</v>
      </c>
      <c r="J209" s="548">
        <v>61519</v>
      </c>
      <c r="K209" s="548">
        <v>70743</v>
      </c>
      <c r="L209" s="549">
        <v>55027</v>
      </c>
      <c r="M209" s="549">
        <v>54932</v>
      </c>
      <c r="N209" s="329">
        <f>AVERAGE(B209:I209)</f>
        <v>58297.026250000003</v>
      </c>
    </row>
    <row r="210" spans="1:14" ht="14.5" x14ac:dyDescent="0.35">
      <c r="A210" s="547" t="s">
        <v>37</v>
      </c>
      <c r="B210" s="549">
        <v>35835</v>
      </c>
      <c r="C210" s="550">
        <v>28946</v>
      </c>
      <c r="D210" s="525">
        <v>43422</v>
      </c>
      <c r="E210" s="548">
        <v>35147</v>
      </c>
      <c r="F210" s="548">
        <v>37370</v>
      </c>
      <c r="G210" s="548">
        <v>39971</v>
      </c>
      <c r="H210" s="548">
        <v>33459.82</v>
      </c>
      <c r="I210" s="551">
        <v>39860</v>
      </c>
      <c r="J210" s="548">
        <v>41717</v>
      </c>
      <c r="K210" s="548">
        <v>40181</v>
      </c>
      <c r="L210" s="549">
        <v>41079</v>
      </c>
      <c r="M210" s="549">
        <v>39875</v>
      </c>
      <c r="N210" s="329">
        <f>AVERAGE(B210:I210)</f>
        <v>36751.352500000001</v>
      </c>
    </row>
    <row r="211" spans="1:14" ht="14.5" x14ac:dyDescent="0.35">
      <c r="A211" s="547" t="s">
        <v>100</v>
      </c>
      <c r="B211" s="549">
        <v>18015</v>
      </c>
      <c r="C211" s="550">
        <v>15778</v>
      </c>
      <c r="D211" s="546" t="s">
        <v>140</v>
      </c>
      <c r="E211" s="538"/>
      <c r="F211" s="538"/>
      <c r="G211" s="548">
        <v>3428</v>
      </c>
      <c r="H211" s="548">
        <v>13471.49</v>
      </c>
      <c r="I211" s="551">
        <v>12544</v>
      </c>
      <c r="J211" s="548">
        <v>13788</v>
      </c>
      <c r="K211" s="548">
        <v>17451</v>
      </c>
      <c r="L211" s="549">
        <v>20924</v>
      </c>
      <c r="M211" s="549">
        <v>23756</v>
      </c>
      <c r="N211" s="329">
        <f>AVERAGE(B211:I211)</f>
        <v>12647.297999999999</v>
      </c>
    </row>
    <row r="212" spans="1:14" ht="14.5" x14ac:dyDescent="0.35">
      <c r="A212" s="547" t="s">
        <v>88</v>
      </c>
      <c r="B212" s="549">
        <v>75226</v>
      </c>
      <c r="C212" s="550">
        <v>76874</v>
      </c>
      <c r="D212" s="525">
        <v>51000</v>
      </c>
      <c r="E212" s="548">
        <v>41240</v>
      </c>
      <c r="F212" s="548">
        <v>47352</v>
      </c>
      <c r="G212" s="548">
        <v>49038</v>
      </c>
      <c r="H212" s="548">
        <v>21042</v>
      </c>
      <c r="I212" s="551">
        <v>35748</v>
      </c>
      <c r="J212" s="548">
        <v>44347</v>
      </c>
      <c r="K212" s="548">
        <v>72570</v>
      </c>
      <c r="L212" s="549">
        <v>89947</v>
      </c>
      <c r="M212" s="549">
        <v>99078</v>
      </c>
      <c r="N212" s="329">
        <f>AVERAGE(B212:I212)</f>
        <v>49690</v>
      </c>
    </row>
    <row r="213" spans="1:14" ht="14.5" x14ac:dyDescent="0.35">
      <c r="A213" s="542" t="s">
        <v>101</v>
      </c>
      <c r="B213" s="543">
        <v>172852</v>
      </c>
      <c r="C213" s="544">
        <v>171408</v>
      </c>
      <c r="D213" s="553">
        <v>170038</v>
      </c>
      <c r="E213" s="552">
        <f t="shared" ref="E213:K213" si="2">SUM(E209:E212)</f>
        <v>144416</v>
      </c>
      <c r="F213" s="552">
        <f t="shared" si="2"/>
        <v>144328</v>
      </c>
      <c r="G213" s="552">
        <f t="shared" si="2"/>
        <v>155833</v>
      </c>
      <c r="H213" s="552">
        <f t="shared" si="2"/>
        <v>120792.52</v>
      </c>
      <c r="I213" s="552">
        <f t="shared" si="2"/>
        <v>141476</v>
      </c>
      <c r="J213" s="552">
        <f t="shared" si="2"/>
        <v>161371</v>
      </c>
      <c r="K213" s="552">
        <f t="shared" si="2"/>
        <v>200945</v>
      </c>
      <c r="L213" s="543">
        <v>206977</v>
      </c>
      <c r="M213" s="543">
        <v>217641</v>
      </c>
      <c r="N213" s="552">
        <f>AVERAGE(B213:I213)</f>
        <v>152642.94</v>
      </c>
    </row>
    <row r="214" spans="1:14" ht="14.5" x14ac:dyDescent="0.35"/>
    <row r="215" spans="1:14" ht="14.5" x14ac:dyDescent="0.35">
      <c r="A215" s="628"/>
      <c r="B215" s="628"/>
      <c r="C215" s="562" t="s">
        <v>141</v>
      </c>
      <c r="D215" s="542" t="s">
        <v>142</v>
      </c>
      <c r="I215" s="262"/>
      <c r="J215" s="262"/>
      <c r="K215" s="262"/>
      <c r="L215" s="262"/>
      <c r="M215" s="262"/>
    </row>
    <row r="216" spans="1:14" s="580" customFormat="1" ht="14.5" x14ac:dyDescent="0.35">
      <c r="A216" s="192" t="s">
        <v>13</v>
      </c>
      <c r="B216" s="193">
        <v>45597</v>
      </c>
      <c r="C216" s="626">
        <f t="shared" ref="C216:C245" si="3">C4+C43+C79+C117+C156</f>
        <v>9056</v>
      </c>
      <c r="D216" s="584">
        <f>C216</f>
        <v>9056</v>
      </c>
      <c r="I216" s="623"/>
    </row>
    <row r="217" spans="1:14" ht="14.5" x14ac:dyDescent="0.35">
      <c r="A217" s="192" t="s">
        <v>16</v>
      </c>
      <c r="B217" s="193">
        <v>45598</v>
      </c>
      <c r="C217" s="626">
        <f t="shared" si="3"/>
        <v>9696</v>
      </c>
      <c r="D217" s="584">
        <f>C216+C217</f>
        <v>18752</v>
      </c>
      <c r="I217" s="624"/>
    </row>
    <row r="218" spans="1:14" ht="14.5" x14ac:dyDescent="0.35">
      <c r="A218" s="192" t="s">
        <v>18</v>
      </c>
      <c r="B218" s="193">
        <v>45599</v>
      </c>
      <c r="C218" s="626">
        <f t="shared" si="3"/>
        <v>0</v>
      </c>
      <c r="D218" s="584">
        <f t="shared" ref="D218:D245" si="4">D217+C218</f>
        <v>18752</v>
      </c>
      <c r="I218" s="624"/>
    </row>
    <row r="219" spans="1:14" ht="14.5" x14ac:dyDescent="0.35">
      <c r="A219" s="192" t="s">
        <v>20</v>
      </c>
      <c r="B219" s="193">
        <v>45600</v>
      </c>
      <c r="C219" s="626">
        <f t="shared" si="3"/>
        <v>10583</v>
      </c>
      <c r="D219" s="584">
        <f t="shared" si="4"/>
        <v>29335</v>
      </c>
      <c r="I219" s="624"/>
    </row>
    <row r="220" spans="1:14" ht="14.5" x14ac:dyDescent="0.35">
      <c r="A220" s="192" t="s">
        <v>22</v>
      </c>
      <c r="B220" s="193">
        <v>45601</v>
      </c>
      <c r="C220" s="626">
        <f t="shared" si="3"/>
        <v>10736</v>
      </c>
      <c r="D220" s="584">
        <f t="shared" si="4"/>
        <v>40071</v>
      </c>
      <c r="I220" s="624"/>
    </row>
    <row r="221" spans="1:14" ht="14.5" x14ac:dyDescent="0.35">
      <c r="A221" s="192" t="s">
        <v>24</v>
      </c>
      <c r="B221" s="193">
        <v>45602</v>
      </c>
      <c r="C221" s="626">
        <f t="shared" si="3"/>
        <v>10053</v>
      </c>
      <c r="D221" s="584">
        <f t="shared" si="4"/>
        <v>50124</v>
      </c>
      <c r="I221" s="624"/>
    </row>
    <row r="222" spans="1:14" ht="14.5" x14ac:dyDescent="0.35">
      <c r="A222" s="192" t="s">
        <v>10</v>
      </c>
      <c r="B222" s="193">
        <v>45603</v>
      </c>
      <c r="C222" s="626">
        <f t="shared" si="3"/>
        <v>7103</v>
      </c>
      <c r="D222" s="584">
        <f t="shared" si="4"/>
        <v>57227</v>
      </c>
      <c r="I222" s="624"/>
      <c r="J222" s="554"/>
      <c r="K222" s="554"/>
      <c r="L222" s="555"/>
      <c r="M222" s="554"/>
    </row>
    <row r="223" spans="1:14" ht="14.5" x14ac:dyDescent="0.35">
      <c r="A223" s="192" t="s">
        <v>13</v>
      </c>
      <c r="B223" s="193">
        <v>45604</v>
      </c>
      <c r="C223" s="626">
        <f t="shared" si="3"/>
        <v>7257</v>
      </c>
      <c r="D223" s="584">
        <f t="shared" si="4"/>
        <v>64484</v>
      </c>
      <c r="I223" s="625"/>
    </row>
    <row r="224" spans="1:14" ht="14.5" x14ac:dyDescent="0.35">
      <c r="A224" s="192" t="s">
        <v>16</v>
      </c>
      <c r="B224" s="193">
        <v>45605</v>
      </c>
      <c r="C224" s="626">
        <f t="shared" si="3"/>
        <v>8232</v>
      </c>
      <c r="D224" s="584">
        <f t="shared" si="4"/>
        <v>72716</v>
      </c>
      <c r="I224" s="625"/>
    </row>
    <row r="225" spans="1:9" ht="14.5" x14ac:dyDescent="0.35">
      <c r="A225" s="192" t="s">
        <v>18</v>
      </c>
      <c r="B225" s="193">
        <v>45606</v>
      </c>
      <c r="C225" s="626">
        <f t="shared" si="3"/>
        <v>0</v>
      </c>
      <c r="D225" s="584">
        <f t="shared" si="4"/>
        <v>72716</v>
      </c>
      <c r="I225" s="625"/>
    </row>
    <row r="226" spans="1:9" ht="14.5" x14ac:dyDescent="0.35">
      <c r="A226" s="192" t="s">
        <v>20</v>
      </c>
      <c r="B226" s="193">
        <v>45607</v>
      </c>
      <c r="C226" s="626">
        <f t="shared" si="3"/>
        <v>11412</v>
      </c>
      <c r="D226" s="584">
        <f t="shared" si="4"/>
        <v>84128</v>
      </c>
    </row>
    <row r="227" spans="1:9" ht="14.5" x14ac:dyDescent="0.35">
      <c r="A227" s="192" t="s">
        <v>22</v>
      </c>
      <c r="B227" s="193">
        <v>45608</v>
      </c>
      <c r="C227" s="626">
        <f t="shared" si="3"/>
        <v>9227</v>
      </c>
      <c r="D227" s="584">
        <f t="shared" si="4"/>
        <v>93355</v>
      </c>
    </row>
    <row r="228" spans="1:9" ht="14.5" x14ac:dyDescent="0.35">
      <c r="A228" s="192" t="s">
        <v>24</v>
      </c>
      <c r="B228" s="193">
        <v>45609</v>
      </c>
      <c r="C228" s="626">
        <f t="shared" si="3"/>
        <v>10087</v>
      </c>
      <c r="D228" s="584">
        <f t="shared" si="4"/>
        <v>103442</v>
      </c>
    </row>
    <row r="229" spans="1:9" ht="14.5" x14ac:dyDescent="0.35">
      <c r="A229" s="192" t="s">
        <v>10</v>
      </c>
      <c r="B229" s="193">
        <v>45610</v>
      </c>
      <c r="C229" s="626">
        <f t="shared" si="3"/>
        <v>7892</v>
      </c>
      <c r="D229" s="584">
        <f t="shared" si="4"/>
        <v>111334</v>
      </c>
    </row>
    <row r="230" spans="1:9" s="580" customFormat="1" ht="14.5" x14ac:dyDescent="0.35">
      <c r="A230" s="192" t="s">
        <v>13</v>
      </c>
      <c r="B230" s="193">
        <v>45611</v>
      </c>
      <c r="C230" s="626">
        <f t="shared" si="3"/>
        <v>8929</v>
      </c>
      <c r="D230" s="584">
        <f t="shared" si="4"/>
        <v>120263</v>
      </c>
    </row>
    <row r="231" spans="1:9" ht="14.5" x14ac:dyDescent="0.35">
      <c r="A231" s="192" t="s">
        <v>16</v>
      </c>
      <c r="B231" s="193">
        <v>45612</v>
      </c>
      <c r="C231" s="626">
        <f t="shared" si="3"/>
        <v>10649</v>
      </c>
      <c r="D231" s="584">
        <f t="shared" si="4"/>
        <v>130912</v>
      </c>
    </row>
    <row r="232" spans="1:9" ht="14.5" x14ac:dyDescent="0.35">
      <c r="A232" s="192" t="s">
        <v>18</v>
      </c>
      <c r="B232" s="193">
        <v>45613</v>
      </c>
      <c r="C232" s="626">
        <f t="shared" si="3"/>
        <v>0</v>
      </c>
      <c r="D232" s="584">
        <f t="shared" si="4"/>
        <v>130912</v>
      </c>
    </row>
    <row r="233" spans="1:9" ht="14.5" x14ac:dyDescent="0.35">
      <c r="A233" s="192" t="s">
        <v>20</v>
      </c>
      <c r="B233" s="193">
        <v>45614</v>
      </c>
      <c r="C233" s="626">
        <f t="shared" si="3"/>
        <v>9001</v>
      </c>
      <c r="D233" s="584">
        <f t="shared" si="4"/>
        <v>139913</v>
      </c>
    </row>
    <row r="234" spans="1:9" ht="14.5" x14ac:dyDescent="0.35">
      <c r="A234" s="192" t="s">
        <v>22</v>
      </c>
      <c r="B234" s="193">
        <v>45615</v>
      </c>
      <c r="C234" s="626">
        <f t="shared" si="3"/>
        <v>14489</v>
      </c>
      <c r="D234" s="584">
        <f t="shared" si="4"/>
        <v>154402</v>
      </c>
    </row>
    <row r="235" spans="1:9" ht="15" customHeight="1" x14ac:dyDescent="0.35">
      <c r="A235" s="192" t="s">
        <v>24</v>
      </c>
      <c r="B235" s="193">
        <v>45616</v>
      </c>
      <c r="C235" s="626">
        <f t="shared" si="3"/>
        <v>6531</v>
      </c>
      <c r="D235" s="584">
        <f t="shared" si="4"/>
        <v>160933</v>
      </c>
    </row>
    <row r="236" spans="1:9" ht="15" customHeight="1" x14ac:dyDescent="0.35">
      <c r="A236" s="192" t="s">
        <v>10</v>
      </c>
      <c r="B236" s="193">
        <v>45617</v>
      </c>
      <c r="C236" s="626">
        <f t="shared" si="3"/>
        <v>8674</v>
      </c>
      <c r="D236" s="584">
        <f t="shared" si="4"/>
        <v>169607</v>
      </c>
    </row>
    <row r="237" spans="1:9" s="580" customFormat="1" ht="15" customHeight="1" x14ac:dyDescent="0.35">
      <c r="A237" s="192" t="s">
        <v>13</v>
      </c>
      <c r="B237" s="193">
        <v>45618</v>
      </c>
      <c r="C237" s="626">
        <f t="shared" si="3"/>
        <v>7787</v>
      </c>
      <c r="D237" s="584">
        <f t="shared" si="4"/>
        <v>177394</v>
      </c>
    </row>
    <row r="238" spans="1:9" ht="15" customHeight="1" x14ac:dyDescent="0.35">
      <c r="A238" s="192" t="s">
        <v>16</v>
      </c>
      <c r="B238" s="193">
        <v>45619</v>
      </c>
      <c r="C238" s="626">
        <f t="shared" si="3"/>
        <v>10845</v>
      </c>
      <c r="D238" s="584">
        <f t="shared" si="4"/>
        <v>188239</v>
      </c>
    </row>
    <row r="239" spans="1:9" ht="15" customHeight="1" x14ac:dyDescent="0.35">
      <c r="A239" s="192" t="s">
        <v>18</v>
      </c>
      <c r="B239" s="193">
        <v>45620</v>
      </c>
      <c r="C239" s="626">
        <f t="shared" si="3"/>
        <v>0</v>
      </c>
      <c r="D239" s="584">
        <f t="shared" si="4"/>
        <v>188239</v>
      </c>
    </row>
    <row r="240" spans="1:9" ht="15" customHeight="1" x14ac:dyDescent="0.35">
      <c r="A240" s="192" t="s">
        <v>20</v>
      </c>
      <c r="B240" s="193">
        <v>45621</v>
      </c>
      <c r="C240" s="626">
        <f t="shared" si="3"/>
        <v>11012</v>
      </c>
      <c r="D240" s="584">
        <f t="shared" si="4"/>
        <v>199251</v>
      </c>
    </row>
    <row r="241" spans="1:4" ht="15" customHeight="1" x14ac:dyDescent="0.35">
      <c r="A241" s="192" t="s">
        <v>22</v>
      </c>
      <c r="B241" s="193">
        <v>45622</v>
      </c>
      <c r="C241" s="626">
        <f t="shared" si="3"/>
        <v>10824</v>
      </c>
      <c r="D241" s="584">
        <f t="shared" si="4"/>
        <v>210075</v>
      </c>
    </row>
    <row r="242" spans="1:4" ht="15" customHeight="1" x14ac:dyDescent="0.35">
      <c r="A242" s="192" t="s">
        <v>24</v>
      </c>
      <c r="B242" s="193">
        <v>45623</v>
      </c>
      <c r="C242" s="626">
        <f t="shared" si="3"/>
        <v>6539</v>
      </c>
      <c r="D242" s="584">
        <f t="shared" si="4"/>
        <v>216614</v>
      </c>
    </row>
    <row r="243" spans="1:4" ht="15" customHeight="1" x14ac:dyDescent="0.35">
      <c r="A243" s="192" t="s">
        <v>10</v>
      </c>
      <c r="B243" s="193">
        <v>45624</v>
      </c>
      <c r="C243" s="626">
        <f t="shared" si="3"/>
        <v>0</v>
      </c>
      <c r="D243" s="584">
        <f t="shared" si="4"/>
        <v>216614</v>
      </c>
    </row>
    <row r="244" spans="1:4" s="580" customFormat="1" ht="15" customHeight="1" x14ac:dyDescent="0.35">
      <c r="A244" s="192" t="s">
        <v>13</v>
      </c>
      <c r="B244" s="193">
        <v>45625</v>
      </c>
      <c r="C244" s="626">
        <f t="shared" si="3"/>
        <v>8383</v>
      </c>
      <c r="D244" s="584">
        <f t="shared" si="4"/>
        <v>224997</v>
      </c>
    </row>
    <row r="245" spans="1:4" ht="15" customHeight="1" x14ac:dyDescent="0.35">
      <c r="A245" s="192" t="s">
        <v>16</v>
      </c>
      <c r="B245" s="193">
        <v>45626</v>
      </c>
      <c r="C245" s="626">
        <f t="shared" si="3"/>
        <v>8264</v>
      </c>
      <c r="D245" s="584">
        <f t="shared" si="4"/>
        <v>233261</v>
      </c>
    </row>
    <row r="246" spans="1:4" ht="15" customHeight="1" x14ac:dyDescent="0.35">
      <c r="A246" s="560"/>
      <c r="B246" s="561"/>
      <c r="C246" s="627"/>
      <c r="D246" s="610"/>
    </row>
  </sheetData>
  <mergeCells count="16">
    <mergeCell ref="K119:L119"/>
    <mergeCell ref="A152:B155"/>
    <mergeCell ref="C152:E153"/>
    <mergeCell ref="C154:C155"/>
    <mergeCell ref="K43:L43"/>
    <mergeCell ref="B77:B78"/>
    <mergeCell ref="C77:C78"/>
    <mergeCell ref="K79:L79"/>
    <mergeCell ref="B115:B116"/>
    <mergeCell ref="C115:C116"/>
    <mergeCell ref="B1:F1"/>
    <mergeCell ref="B2:B3"/>
    <mergeCell ref="C2:C3"/>
    <mergeCell ref="L4:M4"/>
    <mergeCell ref="B41:B42"/>
    <mergeCell ref="C41:C42"/>
  </mergeCells>
  <conditionalFormatting sqref="A5:B34">
    <cfRule type="expression" dxfId="71" priority="7">
      <formula>ISODD(ROW())</formula>
    </cfRule>
  </conditionalFormatting>
  <conditionalFormatting sqref="A216:B246">
    <cfRule type="expression" dxfId="70" priority="2">
      <formula>ISODD(ROW())</formula>
    </cfRule>
  </conditionalFormatting>
  <conditionalFormatting sqref="A117:F147 G143 G144:H144 I144:J147 H145 G146:H147">
    <cfRule type="expression" dxfId="69" priority="4">
      <formula>ISEVEN(ROW())</formula>
    </cfRule>
  </conditionalFormatting>
  <conditionalFormatting sqref="A4:G4 I4 J4:J34">
    <cfRule type="expression" dxfId="68" priority="3">
      <formula>ISODD(ROW())</formula>
    </cfRule>
  </conditionalFormatting>
  <conditionalFormatting sqref="A43:G43 I43:J43 A44:J73 G79 I79:J79 A79:F109 G80:J104 G105 G106:H106 I106:J109 H107 G108:H109 G117 I117:J117 G118:J142">
    <cfRule type="expression" dxfId="67" priority="10">
      <formula>ISEVEN(ROW())</formula>
    </cfRule>
  </conditionalFormatting>
  <conditionalFormatting sqref="A156:G186">
    <cfRule type="expression" dxfId="66" priority="1">
      <formula>ISODD(ROW())</formula>
    </cfRule>
  </conditionalFormatting>
  <conditionalFormatting sqref="C5:F5">
    <cfRule type="expression" dxfId="65" priority="9">
      <formula>ISEVEN(ROW())</formula>
    </cfRule>
  </conditionalFormatting>
  <conditionalFormatting sqref="C6:I34">
    <cfRule type="expression" dxfId="64" priority="8">
      <formula>ISODD(ROW())</formula>
    </cfRule>
  </conditionalFormatting>
  <conditionalFormatting sqref="G5:I5">
    <cfRule type="expression" dxfId="63" priority="11">
      <formula>ISODD(ROW())</formula>
    </cfRule>
  </conditionalFormatting>
  <conditionalFormatting sqref="M2 N3:N16 N18:N21 N27:N32 N34:N35 K37:K39 N41:N43 N49:N60 M55:M59 M65:M68 N65:N74 N77:N110 M111:M170 H152:H188">
    <cfRule type="cellIs" dxfId="62" priority="12" operator="greaterThan">
      <formula>0</formula>
    </cfRule>
    <cfRule type="cellIs" dxfId="61" priority="13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E70C-726D-4248-8815-8F91291EB55A}">
  <sheetPr>
    <tabColor rgb="FFFFC000"/>
  </sheetPr>
  <dimension ref="A1:O246"/>
  <sheetViews>
    <sheetView topLeftCell="A114" workbookViewId="0">
      <selection activeCell="H147" sqref="H147"/>
    </sheetView>
  </sheetViews>
  <sheetFormatPr defaultColWidth="9.1796875" defaultRowHeight="15" customHeight="1" x14ac:dyDescent="0.35"/>
  <cols>
    <col min="1" max="1" width="18.453125" customWidth="1"/>
    <col min="2" max="2" width="21" customWidth="1"/>
    <col min="3" max="3" width="16.453125" customWidth="1"/>
    <col min="4" max="4" width="16.1796875" customWidth="1"/>
    <col min="5" max="5" width="22.453125" customWidth="1"/>
    <col min="6" max="6" width="19.81640625" customWidth="1"/>
    <col min="7" max="7" width="16.453125" customWidth="1"/>
    <col min="8" max="8" width="13" customWidth="1"/>
    <col min="9" max="9" width="12.81640625" bestFit="1" customWidth="1"/>
    <col min="10" max="10" width="15.81640625" bestFit="1" customWidth="1"/>
    <col min="11" max="11" width="14.453125" bestFit="1" customWidth="1"/>
    <col min="12" max="12" width="12.453125" customWidth="1"/>
    <col min="13" max="13" width="17.453125" customWidth="1"/>
    <col min="14" max="14" width="18.453125" customWidth="1"/>
    <col min="15" max="15" width="14.81640625" customWidth="1"/>
    <col min="16" max="16" width="12.54296875" customWidth="1"/>
  </cols>
  <sheetData>
    <row r="1" spans="1:14" ht="17.5" customHeight="1" thickBot="1" x14ac:dyDescent="0.5">
      <c r="A1" s="262"/>
      <c r="B1" s="930" t="s">
        <v>0</v>
      </c>
      <c r="C1" s="930"/>
      <c r="D1" s="930"/>
      <c r="E1" s="930"/>
      <c r="F1" s="930"/>
      <c r="G1" s="262"/>
      <c r="H1" s="262"/>
      <c r="I1" s="262"/>
      <c r="J1" s="262"/>
      <c r="K1" s="262"/>
      <c r="L1" s="262"/>
      <c r="M1" s="262"/>
    </row>
    <row r="2" spans="1:14" ht="15.65" customHeight="1" x14ac:dyDescent="0.4">
      <c r="A2" s="348"/>
      <c r="B2" s="926" t="s">
        <v>1</v>
      </c>
      <c r="C2" s="935" t="s">
        <v>0</v>
      </c>
      <c r="D2" s="298" t="s">
        <v>2</v>
      </c>
      <c r="E2" s="184" t="s">
        <v>3</v>
      </c>
      <c r="F2" s="496" t="s">
        <v>143</v>
      </c>
      <c r="G2" s="186" t="s">
        <v>6</v>
      </c>
      <c r="H2" s="187" t="s">
        <v>7</v>
      </c>
      <c r="I2" s="587" t="s">
        <v>608</v>
      </c>
      <c r="J2" s="349"/>
      <c r="K2" s="349"/>
      <c r="L2" s="349"/>
      <c r="M2" s="349"/>
      <c r="N2" s="349"/>
    </row>
    <row r="3" spans="1:14" ht="30.75" customHeight="1" x14ac:dyDescent="0.35">
      <c r="A3" s="497"/>
      <c r="B3" s="934"/>
      <c r="C3" s="936"/>
      <c r="D3" s="299" t="s">
        <v>0</v>
      </c>
      <c r="E3" s="498" t="s">
        <v>0</v>
      </c>
      <c r="F3" s="499" t="s">
        <v>0</v>
      </c>
      <c r="G3" s="500" t="s">
        <v>8</v>
      </c>
      <c r="H3" s="501" t="s">
        <v>9</v>
      </c>
      <c r="I3" s="588" t="s">
        <v>695</v>
      </c>
      <c r="J3" s="262"/>
      <c r="K3" s="262"/>
      <c r="L3" s="262"/>
      <c r="M3" s="262"/>
      <c r="N3" s="262"/>
    </row>
    <row r="4" spans="1:14" ht="14.5" x14ac:dyDescent="0.35">
      <c r="A4" s="192" t="s">
        <v>22</v>
      </c>
      <c r="B4" s="193">
        <v>45566</v>
      </c>
      <c r="C4" s="194">
        <v>1893</v>
      </c>
      <c r="D4" s="195">
        <v>25</v>
      </c>
      <c r="E4" s="196">
        <v>0</v>
      </c>
      <c r="F4" s="197">
        <v>7</v>
      </c>
      <c r="G4" s="215" t="s">
        <v>696</v>
      </c>
      <c r="H4" s="502">
        <v>12</v>
      </c>
      <c r="I4" s="595"/>
      <c r="J4" s="262"/>
      <c r="K4" s="923" t="s">
        <v>12</v>
      </c>
      <c r="L4" s="923"/>
      <c r="M4" s="262"/>
      <c r="N4" s="262"/>
    </row>
    <row r="5" spans="1:14" ht="14.5" x14ac:dyDescent="0.35">
      <c r="A5" s="192" t="s">
        <v>24</v>
      </c>
      <c r="B5" s="193">
        <v>45567</v>
      </c>
      <c r="C5" s="200">
        <v>1068</v>
      </c>
      <c r="D5" s="201">
        <v>25</v>
      </c>
      <c r="E5" s="202">
        <v>0</v>
      </c>
      <c r="F5" s="557">
        <v>2</v>
      </c>
      <c r="G5" s="559" t="s">
        <v>697</v>
      </c>
      <c r="H5" s="558">
        <v>10</v>
      </c>
      <c r="I5" s="596"/>
      <c r="J5" s="262"/>
      <c r="K5" s="503" t="s">
        <v>15</v>
      </c>
      <c r="L5" s="365">
        <v>68000</v>
      </c>
      <c r="M5" s="262"/>
      <c r="N5" s="262"/>
    </row>
    <row r="6" spans="1:14" ht="14.5" x14ac:dyDescent="0.35">
      <c r="A6" s="192" t="s">
        <v>10</v>
      </c>
      <c r="B6" s="193">
        <v>45568</v>
      </c>
      <c r="C6" s="205">
        <v>2328</v>
      </c>
      <c r="D6" s="206">
        <v>47</v>
      </c>
      <c r="E6" s="207">
        <v>0</v>
      </c>
      <c r="F6" s="207">
        <v>0</v>
      </c>
      <c r="G6" s="207" t="s">
        <v>698</v>
      </c>
      <c r="H6" s="208">
        <v>14</v>
      </c>
      <c r="I6" s="589"/>
      <c r="J6" s="262"/>
      <c r="K6" s="504" t="s">
        <v>17</v>
      </c>
      <c r="L6" s="371">
        <v>2400</v>
      </c>
      <c r="M6" s="262"/>
      <c r="N6" s="262"/>
    </row>
    <row r="7" spans="1:14" ht="14.5" x14ac:dyDescent="0.35">
      <c r="A7" s="192" t="s">
        <v>13</v>
      </c>
      <c r="B7" s="193">
        <v>45569</v>
      </c>
      <c r="C7" s="209">
        <v>3107</v>
      </c>
      <c r="D7" s="210">
        <v>227</v>
      </c>
      <c r="E7" s="211">
        <v>0</v>
      </c>
      <c r="F7" s="211">
        <v>1</v>
      </c>
      <c r="G7" s="211" t="s">
        <v>699</v>
      </c>
      <c r="H7" s="208">
        <v>18</v>
      </c>
      <c r="I7" s="589">
        <v>0.15</v>
      </c>
      <c r="J7" s="262"/>
      <c r="K7" s="505" t="s">
        <v>3</v>
      </c>
      <c r="L7" s="376">
        <v>15</v>
      </c>
      <c r="M7" s="262"/>
      <c r="N7" s="262"/>
    </row>
    <row r="8" spans="1:14" ht="14.5" x14ac:dyDescent="0.35">
      <c r="A8" s="192" t="s">
        <v>16</v>
      </c>
      <c r="B8" s="193">
        <v>45570</v>
      </c>
      <c r="C8" s="205">
        <v>1534</v>
      </c>
      <c r="D8" s="206">
        <v>50</v>
      </c>
      <c r="E8" s="207">
        <v>0</v>
      </c>
      <c r="F8" s="207">
        <v>1</v>
      </c>
      <c r="G8" s="207" t="s">
        <v>700</v>
      </c>
      <c r="H8" s="208">
        <v>20</v>
      </c>
      <c r="I8" s="589">
        <v>0.13</v>
      </c>
      <c r="J8" s="262"/>
      <c r="K8" s="591" t="s">
        <v>614</v>
      </c>
      <c r="L8" s="592">
        <v>0.4</v>
      </c>
      <c r="M8" s="262"/>
      <c r="N8" s="262"/>
    </row>
    <row r="9" spans="1:14" ht="14.5" x14ac:dyDescent="0.35">
      <c r="A9" s="192" t="s">
        <v>18</v>
      </c>
      <c r="B9" s="193">
        <v>45571</v>
      </c>
      <c r="C9" s="212"/>
      <c r="D9" s="213"/>
      <c r="E9" s="203"/>
      <c r="F9" s="203"/>
      <c r="G9" s="207"/>
      <c r="H9" s="204"/>
      <c r="I9" s="597"/>
      <c r="J9" s="262"/>
      <c r="K9" s="262"/>
      <c r="L9" s="262"/>
      <c r="M9" s="262"/>
      <c r="N9" s="262"/>
    </row>
    <row r="10" spans="1:14" ht="14.5" x14ac:dyDescent="0.35">
      <c r="A10" s="192" t="s">
        <v>20</v>
      </c>
      <c r="B10" s="193">
        <v>45572</v>
      </c>
      <c r="C10" s="214">
        <v>1104</v>
      </c>
      <c r="D10" s="195">
        <v>0</v>
      </c>
      <c r="E10" s="215">
        <v>0</v>
      </c>
      <c r="F10" s="215">
        <v>2</v>
      </c>
      <c r="G10" s="216" t="s">
        <v>701</v>
      </c>
      <c r="H10" s="216">
        <v>12</v>
      </c>
      <c r="I10" s="594">
        <v>0.12</v>
      </c>
      <c r="J10" s="262"/>
      <c r="K10" s="262"/>
      <c r="L10" s="262"/>
      <c r="M10" s="262"/>
      <c r="N10" s="262"/>
    </row>
    <row r="11" spans="1:14" ht="14.5" x14ac:dyDescent="0.35">
      <c r="A11" s="192" t="s">
        <v>22</v>
      </c>
      <c r="B11" s="193">
        <v>45573</v>
      </c>
      <c r="C11" s="217">
        <v>3141</v>
      </c>
      <c r="D11" s="218">
        <v>54</v>
      </c>
      <c r="E11" s="219">
        <v>0</v>
      </c>
      <c r="F11" s="219">
        <v>2</v>
      </c>
      <c r="G11" s="219" t="s">
        <v>702</v>
      </c>
      <c r="H11" s="220">
        <v>8</v>
      </c>
      <c r="I11" s="598">
        <v>0.1</v>
      </c>
      <c r="J11" s="262"/>
      <c r="K11" s="262"/>
      <c r="L11" s="262"/>
      <c r="M11" s="262"/>
      <c r="N11" s="262"/>
    </row>
    <row r="12" spans="1:14" ht="14.5" x14ac:dyDescent="0.35">
      <c r="A12" s="192" t="s">
        <v>24</v>
      </c>
      <c r="B12" s="193">
        <v>45574</v>
      </c>
      <c r="C12" s="221">
        <v>1243</v>
      </c>
      <c r="D12" s="222">
        <v>75</v>
      </c>
      <c r="E12" s="223">
        <v>0</v>
      </c>
      <c r="F12" s="223">
        <v>5</v>
      </c>
      <c r="G12" s="223" t="s">
        <v>703</v>
      </c>
      <c r="H12" s="224">
        <v>22</v>
      </c>
      <c r="I12" s="599">
        <v>0.14000000000000001</v>
      </c>
      <c r="J12" s="262"/>
      <c r="K12" s="262"/>
      <c r="L12" s="262"/>
      <c r="M12" s="262"/>
      <c r="N12" s="262"/>
    </row>
    <row r="13" spans="1:14" ht="14.5" x14ac:dyDescent="0.35">
      <c r="A13" s="192" t="s">
        <v>10</v>
      </c>
      <c r="B13" s="193">
        <v>45575</v>
      </c>
      <c r="C13" s="225">
        <v>2961</v>
      </c>
      <c r="D13" s="226">
        <v>229</v>
      </c>
      <c r="E13" s="227">
        <v>0</v>
      </c>
      <c r="F13" s="227">
        <v>2</v>
      </c>
      <c r="G13" s="227" t="s">
        <v>704</v>
      </c>
      <c r="H13" s="228">
        <v>24</v>
      </c>
      <c r="I13" s="600">
        <v>0.16</v>
      </c>
      <c r="J13" s="262"/>
      <c r="K13" s="262"/>
      <c r="L13" s="262"/>
      <c r="M13" s="262"/>
      <c r="N13" s="262"/>
    </row>
    <row r="14" spans="1:14" ht="14.5" x14ac:dyDescent="0.35">
      <c r="A14" s="192" t="s">
        <v>13</v>
      </c>
      <c r="B14" s="193">
        <v>45576</v>
      </c>
      <c r="C14" s="229">
        <v>3691</v>
      </c>
      <c r="D14" s="230">
        <v>199</v>
      </c>
      <c r="E14" s="231">
        <v>0</v>
      </c>
      <c r="F14" s="231">
        <v>3</v>
      </c>
      <c r="G14" s="231" t="s">
        <v>705</v>
      </c>
      <c r="H14" s="232">
        <v>17</v>
      </c>
      <c r="I14" s="601">
        <v>0.14000000000000001</v>
      </c>
      <c r="J14" s="262"/>
      <c r="K14" s="262"/>
      <c r="L14" s="262"/>
      <c r="M14" s="262"/>
      <c r="N14" s="262"/>
    </row>
    <row r="15" spans="1:14" ht="14.5" x14ac:dyDescent="0.35">
      <c r="A15" s="192" t="s">
        <v>16</v>
      </c>
      <c r="B15" s="193">
        <v>45577</v>
      </c>
      <c r="C15" s="225">
        <v>2187</v>
      </c>
      <c r="D15" s="226">
        <v>94</v>
      </c>
      <c r="E15" s="227">
        <v>0</v>
      </c>
      <c r="F15" s="227">
        <v>5</v>
      </c>
      <c r="G15" s="227" t="s">
        <v>706</v>
      </c>
      <c r="H15" s="228">
        <v>19</v>
      </c>
      <c r="I15" s="600">
        <v>0.16</v>
      </c>
      <c r="J15" s="262"/>
      <c r="K15" s="262"/>
      <c r="L15" s="262"/>
      <c r="M15" s="262"/>
      <c r="N15" s="262"/>
    </row>
    <row r="16" spans="1:14" ht="14.5" x14ac:dyDescent="0.35">
      <c r="A16" s="192" t="s">
        <v>18</v>
      </c>
      <c r="B16" s="193">
        <v>45578</v>
      </c>
      <c r="C16" s="233"/>
      <c r="D16" s="234"/>
      <c r="E16" s="235"/>
      <c r="F16" s="235"/>
      <c r="G16" s="235"/>
      <c r="H16" s="236"/>
      <c r="I16" s="602"/>
      <c r="J16" s="262"/>
      <c r="K16" s="262"/>
      <c r="L16" s="262"/>
      <c r="M16" s="262"/>
      <c r="N16" s="262"/>
    </row>
    <row r="17" spans="1:14" ht="14.5" x14ac:dyDescent="0.35">
      <c r="A17" s="192" t="s">
        <v>20</v>
      </c>
      <c r="B17" s="193">
        <v>45579</v>
      </c>
      <c r="C17" s="225">
        <v>4357</v>
      </c>
      <c r="D17" s="226">
        <v>0</v>
      </c>
      <c r="E17" s="227">
        <v>0</v>
      </c>
      <c r="F17" s="227">
        <v>1</v>
      </c>
      <c r="G17" s="227" t="s">
        <v>707</v>
      </c>
      <c r="H17" s="228">
        <v>19</v>
      </c>
      <c r="I17" s="600">
        <v>0.18</v>
      </c>
      <c r="J17" s="262"/>
      <c r="K17" s="262"/>
      <c r="L17" s="262"/>
      <c r="M17" s="262"/>
      <c r="N17" s="262"/>
    </row>
    <row r="18" spans="1:14" ht="14.5" x14ac:dyDescent="0.35">
      <c r="A18" s="192" t="s">
        <v>22</v>
      </c>
      <c r="B18" s="193">
        <v>45580</v>
      </c>
      <c r="C18" s="233">
        <v>4055</v>
      </c>
      <c r="D18" s="195">
        <v>58</v>
      </c>
      <c r="E18" s="215">
        <v>0</v>
      </c>
      <c r="F18" s="215">
        <v>2</v>
      </c>
      <c r="G18" s="215" t="s">
        <v>708</v>
      </c>
      <c r="H18" s="216">
        <v>15</v>
      </c>
      <c r="I18" s="594">
        <v>0.18</v>
      </c>
      <c r="J18" s="262"/>
      <c r="K18" s="262"/>
      <c r="L18" s="262"/>
      <c r="M18" s="262"/>
      <c r="N18" s="262"/>
    </row>
    <row r="19" spans="1:14" ht="14.5" x14ac:dyDescent="0.35">
      <c r="A19" s="192" t="s">
        <v>24</v>
      </c>
      <c r="B19" s="193">
        <v>45581</v>
      </c>
      <c r="C19" s="209">
        <v>3117</v>
      </c>
      <c r="D19" s="213">
        <v>158</v>
      </c>
      <c r="E19" s="203">
        <v>0</v>
      </c>
      <c r="F19" s="203">
        <v>9</v>
      </c>
      <c r="G19" s="203" t="s">
        <v>709</v>
      </c>
      <c r="H19" s="204">
        <v>27</v>
      </c>
      <c r="I19" s="597">
        <v>0.18</v>
      </c>
      <c r="J19" s="262"/>
      <c r="K19" s="262"/>
      <c r="L19" s="262"/>
      <c r="M19" s="262"/>
      <c r="N19" s="262"/>
    </row>
    <row r="20" spans="1:14" ht="14.5" x14ac:dyDescent="0.35">
      <c r="A20" s="192" t="s">
        <v>10</v>
      </c>
      <c r="B20" s="193">
        <v>45582</v>
      </c>
      <c r="C20" s="233">
        <v>2362</v>
      </c>
      <c r="D20" s="234">
        <v>113</v>
      </c>
      <c r="E20" s="215">
        <v>0</v>
      </c>
      <c r="F20" s="215">
        <v>4</v>
      </c>
      <c r="G20" s="235" t="s">
        <v>710</v>
      </c>
      <c r="H20" s="216">
        <v>16</v>
      </c>
      <c r="I20" s="594">
        <v>0.19</v>
      </c>
      <c r="J20" s="262"/>
      <c r="K20" s="262"/>
      <c r="L20" s="262"/>
      <c r="M20" s="262"/>
      <c r="N20" s="262"/>
    </row>
    <row r="21" spans="1:14" ht="14.5" x14ac:dyDescent="0.35">
      <c r="A21" s="192" t="s">
        <v>13</v>
      </c>
      <c r="B21" s="193">
        <v>45583</v>
      </c>
      <c r="C21" s="237">
        <v>2578</v>
      </c>
      <c r="D21" s="238">
        <v>144</v>
      </c>
      <c r="E21" s="239">
        <v>0</v>
      </c>
      <c r="F21" s="239">
        <v>1</v>
      </c>
      <c r="G21" s="239" t="s">
        <v>711</v>
      </c>
      <c r="H21" s="240">
        <v>18</v>
      </c>
      <c r="I21" s="603">
        <v>0.2</v>
      </c>
      <c r="J21" s="262"/>
      <c r="K21" s="262"/>
      <c r="L21" s="262"/>
      <c r="M21" s="262"/>
      <c r="N21" s="262"/>
    </row>
    <row r="22" spans="1:14" ht="14.5" x14ac:dyDescent="0.35">
      <c r="A22" s="192" t="s">
        <v>16</v>
      </c>
      <c r="B22" s="193">
        <v>45584</v>
      </c>
      <c r="C22" s="214">
        <v>2021</v>
      </c>
      <c r="D22" s="195">
        <v>25</v>
      </c>
      <c r="E22" s="215">
        <v>0</v>
      </c>
      <c r="F22" s="215">
        <v>0</v>
      </c>
      <c r="G22" s="215" t="s">
        <v>712</v>
      </c>
      <c r="H22" s="216">
        <v>15</v>
      </c>
      <c r="I22" s="594">
        <v>0.2</v>
      </c>
      <c r="J22" s="262"/>
      <c r="K22" s="262"/>
      <c r="L22" s="262"/>
      <c r="M22" s="262"/>
      <c r="N22" s="262"/>
    </row>
    <row r="23" spans="1:14" ht="14.5" x14ac:dyDescent="0.35">
      <c r="A23" s="192" t="s">
        <v>18</v>
      </c>
      <c r="B23" s="193">
        <v>45585</v>
      </c>
      <c r="C23" s="237"/>
      <c r="D23" s="238"/>
      <c r="E23" s="239"/>
      <c r="F23" s="239"/>
      <c r="G23" s="215"/>
      <c r="H23" s="240"/>
      <c r="I23" s="603"/>
      <c r="J23" s="262"/>
      <c r="K23" s="262"/>
      <c r="L23" s="262"/>
      <c r="M23" s="262"/>
      <c r="N23" s="262"/>
    </row>
    <row r="24" spans="1:14" ht="14.5" x14ac:dyDescent="0.35">
      <c r="A24" s="192" t="s">
        <v>20</v>
      </c>
      <c r="B24" s="193">
        <v>45586</v>
      </c>
      <c r="C24" s="205">
        <v>4683</v>
      </c>
      <c r="D24" s="206">
        <v>196</v>
      </c>
      <c r="E24" s="207">
        <v>0</v>
      </c>
      <c r="F24" s="207">
        <v>3</v>
      </c>
      <c r="G24" s="207" t="s">
        <v>713</v>
      </c>
      <c r="H24" s="208">
        <v>20</v>
      </c>
      <c r="I24" s="589">
        <v>0.2</v>
      </c>
      <c r="J24" s="262"/>
      <c r="K24" s="262"/>
      <c r="L24" s="262"/>
      <c r="M24" s="262"/>
      <c r="N24" s="262"/>
    </row>
    <row r="25" spans="1:14" ht="14.5" x14ac:dyDescent="0.35">
      <c r="A25" s="192" t="s">
        <v>22</v>
      </c>
      <c r="B25" s="193">
        <v>45587</v>
      </c>
      <c r="C25" s="209">
        <v>3348</v>
      </c>
      <c r="D25" s="210">
        <v>0</v>
      </c>
      <c r="E25" s="211">
        <v>0</v>
      </c>
      <c r="F25" s="211">
        <v>2</v>
      </c>
      <c r="G25" s="211" t="s">
        <v>714</v>
      </c>
      <c r="H25" s="241">
        <v>19</v>
      </c>
      <c r="I25" s="590">
        <v>0.2</v>
      </c>
      <c r="J25" s="262"/>
      <c r="K25" s="262"/>
      <c r="L25" s="262"/>
      <c r="M25" s="262"/>
      <c r="N25" s="262"/>
    </row>
    <row r="26" spans="1:14" ht="14.5" x14ac:dyDescent="0.35">
      <c r="A26" s="192" t="s">
        <v>24</v>
      </c>
      <c r="B26" s="193">
        <v>45588</v>
      </c>
      <c r="C26" s="233">
        <v>1309</v>
      </c>
      <c r="D26" s="234">
        <v>54</v>
      </c>
      <c r="E26" s="235">
        <v>0</v>
      </c>
      <c r="F26" s="235">
        <v>2</v>
      </c>
      <c r="G26" s="235" t="s">
        <v>715</v>
      </c>
      <c r="H26" s="236">
        <v>14</v>
      </c>
      <c r="I26" s="602">
        <v>0.21</v>
      </c>
      <c r="J26" s="262"/>
      <c r="K26" s="262"/>
      <c r="L26" s="262"/>
      <c r="M26" s="262"/>
      <c r="N26" s="262"/>
    </row>
    <row r="27" spans="1:14" ht="14.5" x14ac:dyDescent="0.35">
      <c r="A27" s="192" t="s">
        <v>10</v>
      </c>
      <c r="B27" s="193">
        <v>45589</v>
      </c>
      <c r="C27" s="237">
        <v>2508</v>
      </c>
      <c r="D27" s="238">
        <v>59</v>
      </c>
      <c r="E27" s="239">
        <v>1</v>
      </c>
      <c r="F27" s="239">
        <v>2</v>
      </c>
      <c r="G27" s="239" t="s">
        <v>716</v>
      </c>
      <c r="H27" s="240">
        <v>14</v>
      </c>
      <c r="I27" s="603">
        <v>0.21</v>
      </c>
      <c r="J27" s="262"/>
      <c r="K27" s="262"/>
      <c r="L27" s="262"/>
      <c r="M27" s="262"/>
      <c r="N27" s="262"/>
    </row>
    <row r="28" spans="1:14" ht="14.5" x14ac:dyDescent="0.35">
      <c r="A28" s="192" t="s">
        <v>13</v>
      </c>
      <c r="B28" s="193">
        <v>45590</v>
      </c>
      <c r="C28" s="233">
        <v>2164</v>
      </c>
      <c r="D28" s="234">
        <v>85</v>
      </c>
      <c r="E28" s="235">
        <v>0</v>
      </c>
      <c r="F28" s="235">
        <v>2</v>
      </c>
      <c r="G28" s="235" t="s">
        <v>717</v>
      </c>
      <c r="H28" s="236">
        <v>19</v>
      </c>
      <c r="I28" s="602">
        <v>0.21</v>
      </c>
      <c r="J28" s="262"/>
      <c r="K28" s="262"/>
      <c r="L28" s="262"/>
      <c r="M28" s="262"/>
      <c r="N28" s="262"/>
    </row>
    <row r="29" spans="1:14" ht="14.5" x14ac:dyDescent="0.35">
      <c r="A29" s="192" t="s">
        <v>16</v>
      </c>
      <c r="B29" s="193">
        <v>45591</v>
      </c>
      <c r="C29" s="209">
        <v>895</v>
      </c>
      <c r="D29" s="242">
        <v>0</v>
      </c>
      <c r="E29" s="243">
        <v>0</v>
      </c>
      <c r="F29" s="244">
        <v>1</v>
      </c>
      <c r="G29" s="211" t="s">
        <v>718</v>
      </c>
      <c r="H29" s="241">
        <v>16</v>
      </c>
      <c r="I29" s="590">
        <v>0.21</v>
      </c>
      <c r="J29" s="262"/>
      <c r="K29" s="262"/>
      <c r="L29" s="262"/>
      <c r="M29" s="262"/>
      <c r="N29" s="262"/>
    </row>
    <row r="30" spans="1:14" ht="14.5" x14ac:dyDescent="0.35">
      <c r="A30" s="192" t="s">
        <v>18</v>
      </c>
      <c r="B30" s="193">
        <v>45592</v>
      </c>
      <c r="C30" s="214"/>
      <c r="D30" s="245"/>
      <c r="E30" s="246"/>
      <c r="F30" s="247"/>
      <c r="G30" s="246"/>
      <c r="H30" s="248"/>
      <c r="I30" s="604"/>
      <c r="J30" s="262"/>
      <c r="K30" s="262"/>
      <c r="L30" s="508"/>
      <c r="M30" s="262"/>
      <c r="N30" s="262"/>
    </row>
    <row r="31" spans="1:14" ht="14.5" x14ac:dyDescent="0.35">
      <c r="A31" s="192" t="s">
        <v>20</v>
      </c>
      <c r="B31" s="193">
        <v>45593</v>
      </c>
      <c r="C31" s="214">
        <v>2317</v>
      </c>
      <c r="D31" s="249">
        <v>0</v>
      </c>
      <c r="E31" s="246">
        <v>1</v>
      </c>
      <c r="F31" s="247">
        <v>1</v>
      </c>
      <c r="G31" s="250" t="s">
        <v>719</v>
      </c>
      <c r="H31" s="215">
        <v>11</v>
      </c>
      <c r="I31" s="605">
        <v>0.19</v>
      </c>
      <c r="J31" s="262"/>
      <c r="K31" s="262"/>
      <c r="L31" s="508"/>
      <c r="M31" s="262"/>
      <c r="N31" s="262"/>
    </row>
    <row r="32" spans="1:14" ht="14.5" x14ac:dyDescent="0.35">
      <c r="A32" s="192" t="s">
        <v>22</v>
      </c>
      <c r="B32" s="193">
        <v>45594</v>
      </c>
      <c r="C32" s="214">
        <v>2624</v>
      </c>
      <c r="D32" s="249">
        <v>30</v>
      </c>
      <c r="E32" s="246">
        <v>0</v>
      </c>
      <c r="F32" s="247">
        <v>4</v>
      </c>
      <c r="G32" s="250" t="s">
        <v>720</v>
      </c>
      <c r="H32" s="215">
        <v>12</v>
      </c>
      <c r="I32" s="605">
        <v>0.19</v>
      </c>
      <c r="J32" s="262"/>
      <c r="K32" s="262"/>
      <c r="L32" s="508"/>
      <c r="M32" s="262"/>
      <c r="N32" s="262"/>
    </row>
    <row r="33" spans="1:14" ht="14.5" x14ac:dyDescent="0.35">
      <c r="A33" s="192" t="s">
        <v>24</v>
      </c>
      <c r="B33" s="193">
        <v>45595</v>
      </c>
      <c r="C33" s="252">
        <v>1514</v>
      </c>
      <c r="D33" s="253">
        <v>25</v>
      </c>
      <c r="E33" s="246">
        <v>0</v>
      </c>
      <c r="F33" s="254">
        <v>2</v>
      </c>
      <c r="G33" s="250" t="s">
        <v>721</v>
      </c>
      <c r="H33" s="215">
        <v>11</v>
      </c>
      <c r="I33" s="605">
        <v>0.18</v>
      </c>
      <c r="J33" s="262"/>
      <c r="K33" s="262"/>
      <c r="L33" s="262"/>
      <c r="M33" s="262"/>
      <c r="N33" s="262"/>
    </row>
    <row r="34" spans="1:14" ht="14.5" x14ac:dyDescent="0.35">
      <c r="A34" s="192" t="s">
        <v>10</v>
      </c>
      <c r="B34" s="193">
        <v>45596</v>
      </c>
      <c r="C34" s="255">
        <v>735</v>
      </c>
      <c r="D34" s="255">
        <v>30</v>
      </c>
      <c r="E34" s="198">
        <v>1</v>
      </c>
      <c r="F34" s="198">
        <v>1</v>
      </c>
      <c r="G34" s="198" t="s">
        <v>722</v>
      </c>
      <c r="H34" s="198">
        <v>4</v>
      </c>
      <c r="I34" s="606">
        <v>0.18</v>
      </c>
      <c r="J34" s="262"/>
      <c r="K34" s="262"/>
      <c r="L34" s="508"/>
      <c r="M34" s="262"/>
      <c r="N34" s="262"/>
    </row>
    <row r="35" spans="1:14" thickBot="1" x14ac:dyDescent="0.4">
      <c r="A35" s="257"/>
      <c r="B35" s="257"/>
      <c r="C35" s="258">
        <f t="shared" ref="C35:H35" si="0">SUM(C4:C34)</f>
        <v>64844</v>
      </c>
      <c r="D35" s="259">
        <f t="shared" si="0"/>
        <v>2002</v>
      </c>
      <c r="E35" s="260">
        <f t="shared" si="0"/>
        <v>3</v>
      </c>
      <c r="F35" s="260">
        <f t="shared" si="0"/>
        <v>67</v>
      </c>
      <c r="G35" s="260">
        <f t="shared" si="0"/>
        <v>0</v>
      </c>
      <c r="H35" s="261">
        <f t="shared" si="0"/>
        <v>426</v>
      </c>
      <c r="I35" s="261"/>
      <c r="J35" s="262"/>
      <c r="K35" s="262"/>
      <c r="L35" s="262"/>
      <c r="M35" s="262"/>
      <c r="N35" s="262"/>
    </row>
    <row r="36" spans="1:14" ht="14.5" x14ac:dyDescent="0.35">
      <c r="A36" s="262"/>
      <c r="B36" s="474"/>
      <c r="C36" s="509"/>
      <c r="D36" s="510"/>
      <c r="E36" s="475"/>
      <c r="F36" s="257"/>
      <c r="G36" s="262"/>
      <c r="H36" s="262"/>
      <c r="I36" s="262"/>
      <c r="J36" s="262"/>
      <c r="K36" s="262"/>
      <c r="L36" s="262"/>
      <c r="M36" s="262"/>
    </row>
    <row r="37" spans="1:14" ht="14.5" x14ac:dyDescent="0.35">
      <c r="A37" s="262"/>
      <c r="B37" s="474"/>
      <c r="C37" s="508"/>
      <c r="D37" s="508"/>
      <c r="E37" s="475"/>
      <c r="F37" s="511"/>
      <c r="G37" s="262"/>
      <c r="H37" s="262"/>
      <c r="I37" s="262"/>
      <c r="J37" s="262"/>
      <c r="K37" s="262"/>
      <c r="L37" s="262"/>
      <c r="M37" s="262"/>
    </row>
    <row r="38" spans="1:14" ht="14.5" x14ac:dyDescent="0.35">
      <c r="A38" s="262"/>
      <c r="B38" s="474"/>
      <c r="C38" s="475"/>
      <c r="D38" s="508"/>
      <c r="E38" s="475"/>
      <c r="F38" s="511"/>
      <c r="G38" s="262"/>
      <c r="H38" s="262"/>
      <c r="I38" s="262"/>
      <c r="J38" s="262"/>
      <c r="K38" s="262"/>
      <c r="L38" s="262"/>
      <c r="M38" s="262"/>
    </row>
    <row r="39" spans="1:14" ht="14.5" x14ac:dyDescent="0.35">
      <c r="A39" s="262"/>
      <c r="B39" s="474"/>
      <c r="C39" s="508"/>
      <c r="D39" s="508"/>
      <c r="E39" s="508"/>
      <c r="F39" s="262"/>
      <c r="G39" s="262"/>
      <c r="H39" s="262"/>
      <c r="I39" s="262"/>
      <c r="J39" s="262"/>
      <c r="K39" s="262"/>
      <c r="L39" s="262"/>
      <c r="M39" s="262"/>
    </row>
    <row r="40" spans="1:14" ht="19" thickBot="1" x14ac:dyDescent="0.5">
      <c r="A40" s="262"/>
      <c r="B40" s="474"/>
      <c r="C40" s="508"/>
      <c r="D40" s="512"/>
      <c r="E40" s="508"/>
      <c r="F40" s="262"/>
      <c r="G40" s="262"/>
      <c r="H40" s="262"/>
      <c r="I40" s="262"/>
      <c r="J40" s="262"/>
      <c r="K40" s="262"/>
      <c r="L40" s="262"/>
      <c r="M40" s="262"/>
    </row>
    <row r="41" spans="1:14" ht="15.65" customHeight="1" x14ac:dyDescent="0.4">
      <c r="A41" s="348"/>
      <c r="B41" s="931" t="s">
        <v>37</v>
      </c>
      <c r="C41" s="935" t="s">
        <v>0</v>
      </c>
      <c r="D41" s="298" t="s">
        <v>2</v>
      </c>
      <c r="E41" s="184" t="s">
        <v>3</v>
      </c>
      <c r="F41" s="185" t="s">
        <v>143</v>
      </c>
      <c r="G41" s="186" t="s">
        <v>6</v>
      </c>
      <c r="H41" s="187" t="s">
        <v>7</v>
      </c>
      <c r="I41" s="587" t="s">
        <v>608</v>
      </c>
      <c r="J41" s="349"/>
      <c r="M41" s="349"/>
      <c r="N41" s="349"/>
    </row>
    <row r="42" spans="1:14" ht="29.25" customHeight="1" x14ac:dyDescent="0.35">
      <c r="A42" s="497"/>
      <c r="B42" s="937"/>
      <c r="C42" s="936"/>
      <c r="D42" s="299" t="s">
        <v>0</v>
      </c>
      <c r="E42" s="188" t="s">
        <v>0</v>
      </c>
      <c r="F42" s="499" t="s">
        <v>0</v>
      </c>
      <c r="G42" s="500" t="s">
        <v>8</v>
      </c>
      <c r="H42" s="501" t="s">
        <v>9</v>
      </c>
      <c r="I42" s="588" t="s">
        <v>695</v>
      </c>
      <c r="J42" s="262"/>
      <c r="M42" s="262"/>
      <c r="N42" s="262"/>
    </row>
    <row r="43" spans="1:14" ht="14.5" x14ac:dyDescent="0.35">
      <c r="A43" s="192" t="s">
        <v>22</v>
      </c>
      <c r="B43" s="193">
        <v>45566</v>
      </c>
      <c r="C43" s="194">
        <v>580</v>
      </c>
      <c r="D43" s="195">
        <v>25</v>
      </c>
      <c r="E43" s="196">
        <v>0</v>
      </c>
      <c r="F43" s="197">
        <v>2</v>
      </c>
      <c r="G43" s="617" t="s">
        <v>723</v>
      </c>
      <c r="H43" s="502">
        <v>8</v>
      </c>
      <c r="I43" s="502"/>
      <c r="J43" s="262"/>
      <c r="K43" s="923" t="s">
        <v>12</v>
      </c>
      <c r="L43" s="923"/>
      <c r="M43" s="262"/>
      <c r="N43" s="262"/>
    </row>
    <row r="44" spans="1:14" ht="14.5" x14ac:dyDescent="0.35">
      <c r="A44" s="192" t="s">
        <v>24</v>
      </c>
      <c r="B44" s="193">
        <v>45567</v>
      </c>
      <c r="C44" s="212">
        <v>1883</v>
      </c>
      <c r="D44" s="213">
        <v>60</v>
      </c>
      <c r="E44" s="203">
        <v>0</v>
      </c>
      <c r="F44" s="611">
        <v>3</v>
      </c>
      <c r="G44" s="618" t="s">
        <v>724</v>
      </c>
      <c r="H44" s="558">
        <v>10</v>
      </c>
      <c r="I44" s="204"/>
      <c r="J44" s="262"/>
      <c r="K44" s="513" t="s">
        <v>15</v>
      </c>
      <c r="L44" s="409">
        <v>55000</v>
      </c>
      <c r="M44" s="262"/>
      <c r="N44" s="262"/>
    </row>
    <row r="45" spans="1:14" ht="14.5" x14ac:dyDescent="0.35">
      <c r="A45" s="192" t="s">
        <v>10</v>
      </c>
      <c r="B45" s="193">
        <v>45568</v>
      </c>
      <c r="C45" s="205">
        <v>1404</v>
      </c>
      <c r="D45" s="206">
        <v>45</v>
      </c>
      <c r="E45" s="207">
        <v>0</v>
      </c>
      <c r="F45" s="612">
        <v>1</v>
      </c>
      <c r="G45" s="619" t="s">
        <v>725</v>
      </c>
      <c r="H45" s="613">
        <v>15</v>
      </c>
      <c r="I45" s="208"/>
      <c r="J45" s="514"/>
      <c r="K45" s="504" t="s">
        <v>17</v>
      </c>
      <c r="L45" s="411">
        <v>2600</v>
      </c>
      <c r="M45" s="262"/>
      <c r="N45" s="262"/>
    </row>
    <row r="46" spans="1:14" ht="14.5" x14ac:dyDescent="0.35">
      <c r="A46" s="192" t="s">
        <v>13</v>
      </c>
      <c r="B46" s="193">
        <v>45569</v>
      </c>
      <c r="C46" s="209">
        <v>2472</v>
      </c>
      <c r="D46" s="210">
        <v>25</v>
      </c>
      <c r="E46" s="211">
        <v>0</v>
      </c>
      <c r="F46" s="287">
        <v>0</v>
      </c>
      <c r="G46" s="243" t="s">
        <v>726</v>
      </c>
      <c r="H46" s="614">
        <v>13</v>
      </c>
      <c r="I46" s="590">
        <v>0.32</v>
      </c>
      <c r="J46" s="262"/>
      <c r="K46" s="515" t="s">
        <v>3</v>
      </c>
      <c r="L46" s="413">
        <v>15</v>
      </c>
      <c r="M46" s="262"/>
      <c r="N46" s="262"/>
    </row>
    <row r="47" spans="1:14" ht="14.5" x14ac:dyDescent="0.35">
      <c r="A47" s="192" t="s">
        <v>16</v>
      </c>
      <c r="B47" s="193">
        <v>45570</v>
      </c>
      <c r="C47" s="205">
        <v>2381</v>
      </c>
      <c r="D47" s="206">
        <v>90</v>
      </c>
      <c r="E47" s="207">
        <v>1</v>
      </c>
      <c r="F47" s="612">
        <v>7</v>
      </c>
      <c r="G47" s="619" t="s">
        <v>727</v>
      </c>
      <c r="H47" s="613">
        <v>18</v>
      </c>
      <c r="I47" s="589">
        <v>0.41</v>
      </c>
      <c r="J47" s="262"/>
      <c r="K47" s="591" t="s">
        <v>614</v>
      </c>
      <c r="L47" s="592">
        <v>0.4</v>
      </c>
      <c r="M47" s="262"/>
      <c r="N47" s="262"/>
    </row>
    <row r="48" spans="1:14" ht="14.5" x14ac:dyDescent="0.35">
      <c r="A48" s="192" t="s">
        <v>18</v>
      </c>
      <c r="B48" s="193">
        <v>45571</v>
      </c>
      <c r="C48" s="212"/>
      <c r="D48" s="213"/>
      <c r="E48" s="203"/>
      <c r="F48" s="611"/>
      <c r="G48" s="619"/>
      <c r="H48" s="558"/>
      <c r="I48" s="204"/>
      <c r="J48" s="262"/>
      <c r="K48" s="262"/>
      <c r="L48" s="474"/>
      <c r="M48" s="262"/>
      <c r="N48" s="262"/>
    </row>
    <row r="49" spans="1:14" ht="14.5" x14ac:dyDescent="0.35">
      <c r="A49" s="192" t="s">
        <v>20</v>
      </c>
      <c r="B49" s="193">
        <v>45572</v>
      </c>
      <c r="C49" s="214">
        <v>2256</v>
      </c>
      <c r="D49" s="195">
        <v>125</v>
      </c>
      <c r="E49" s="215">
        <v>0</v>
      </c>
      <c r="F49" s="615">
        <v>1</v>
      </c>
      <c r="G49" s="246" t="s">
        <v>728</v>
      </c>
      <c r="H49" s="616">
        <v>9</v>
      </c>
      <c r="I49" s="594">
        <v>0.39</v>
      </c>
      <c r="J49" s="262"/>
      <c r="K49" s="262"/>
      <c r="L49" s="262"/>
      <c r="M49" s="262"/>
      <c r="N49" s="262"/>
    </row>
    <row r="50" spans="1:14" ht="14.5" x14ac:dyDescent="0.35">
      <c r="A50" s="192" t="s">
        <v>22</v>
      </c>
      <c r="B50" s="193">
        <v>45573</v>
      </c>
      <c r="C50" s="217">
        <v>1628</v>
      </c>
      <c r="D50" s="218">
        <v>40</v>
      </c>
      <c r="E50" s="219">
        <v>0</v>
      </c>
      <c r="F50" s="219">
        <v>4</v>
      </c>
      <c r="G50" s="300" t="s">
        <v>729</v>
      </c>
      <c r="H50" s="220">
        <v>6</v>
      </c>
      <c r="I50" s="598">
        <v>0.42</v>
      </c>
      <c r="J50" s="262"/>
      <c r="K50" s="262"/>
      <c r="L50" s="262"/>
      <c r="M50" s="262"/>
      <c r="N50" s="262"/>
    </row>
    <row r="51" spans="1:14" ht="14.5" x14ac:dyDescent="0.35">
      <c r="A51" s="192" t="s">
        <v>24</v>
      </c>
      <c r="B51" s="193">
        <v>45574</v>
      </c>
      <c r="C51" s="221">
        <v>2085</v>
      </c>
      <c r="D51" s="222">
        <v>0</v>
      </c>
      <c r="E51" s="223">
        <v>0</v>
      </c>
      <c r="F51" s="223">
        <v>0</v>
      </c>
      <c r="G51" s="223" t="s">
        <v>730</v>
      </c>
      <c r="H51" s="224">
        <v>12</v>
      </c>
      <c r="I51" s="599">
        <v>0.4</v>
      </c>
      <c r="J51" s="262"/>
      <c r="K51" s="262"/>
      <c r="L51" s="262"/>
      <c r="M51" s="262"/>
      <c r="N51" s="262"/>
    </row>
    <row r="52" spans="1:14" ht="14.5" x14ac:dyDescent="0.35">
      <c r="A52" s="192" t="s">
        <v>10</v>
      </c>
      <c r="B52" s="193">
        <v>45575</v>
      </c>
      <c r="C52" s="225">
        <v>3046</v>
      </c>
      <c r="D52" s="226">
        <v>90</v>
      </c>
      <c r="E52" s="227">
        <v>0</v>
      </c>
      <c r="F52" s="227">
        <v>2</v>
      </c>
      <c r="G52" s="227" t="s">
        <v>731</v>
      </c>
      <c r="H52" s="228">
        <v>14</v>
      </c>
      <c r="I52" s="600">
        <v>0.42</v>
      </c>
      <c r="J52" s="262"/>
      <c r="K52" s="262"/>
      <c r="L52" s="262"/>
      <c r="M52" s="262"/>
      <c r="N52" s="262"/>
    </row>
    <row r="53" spans="1:14" ht="14.5" x14ac:dyDescent="0.35">
      <c r="A53" s="192" t="s">
        <v>13</v>
      </c>
      <c r="B53" s="193">
        <v>45576</v>
      </c>
      <c r="C53" s="229">
        <v>1126</v>
      </c>
      <c r="D53" s="230">
        <v>0</v>
      </c>
      <c r="E53" s="231">
        <v>0</v>
      </c>
      <c r="F53" s="231">
        <v>2</v>
      </c>
      <c r="G53" s="231" t="s">
        <v>732</v>
      </c>
      <c r="H53" s="232">
        <v>10</v>
      </c>
      <c r="I53" s="601">
        <v>0.38</v>
      </c>
      <c r="J53" s="262"/>
      <c r="K53" s="262"/>
      <c r="L53" s="262"/>
      <c r="M53" s="262"/>
      <c r="N53" s="262"/>
    </row>
    <row r="54" spans="1:14" ht="14.5" x14ac:dyDescent="0.35">
      <c r="A54" s="192" t="s">
        <v>16</v>
      </c>
      <c r="B54" s="193">
        <v>45577</v>
      </c>
      <c r="C54" s="225">
        <v>2214</v>
      </c>
      <c r="D54" s="226">
        <v>210</v>
      </c>
      <c r="E54" s="227">
        <v>0</v>
      </c>
      <c r="F54" s="227"/>
      <c r="G54" s="227" t="s">
        <v>733</v>
      </c>
      <c r="H54" s="228">
        <v>19</v>
      </c>
      <c r="I54" s="600">
        <v>0.43</v>
      </c>
      <c r="J54" s="262"/>
      <c r="K54" s="262"/>
      <c r="L54" s="262"/>
      <c r="M54" s="262"/>
      <c r="N54" s="262"/>
    </row>
    <row r="55" spans="1:14" ht="14.5" x14ac:dyDescent="0.35">
      <c r="A55" s="192" t="s">
        <v>18</v>
      </c>
      <c r="B55" s="193">
        <v>45578</v>
      </c>
      <c r="C55" s="233"/>
      <c r="D55" s="234"/>
      <c r="E55" s="235"/>
      <c r="F55" s="235"/>
      <c r="G55" s="235"/>
      <c r="H55" s="236"/>
      <c r="I55" s="602"/>
      <c r="J55" s="262"/>
      <c r="K55" s="262"/>
      <c r="L55" s="262"/>
      <c r="M55" s="262"/>
      <c r="N55" s="262"/>
    </row>
    <row r="56" spans="1:14" ht="14.5" x14ac:dyDescent="0.35">
      <c r="A56" s="192" t="s">
        <v>20</v>
      </c>
      <c r="B56" s="193">
        <v>45579</v>
      </c>
      <c r="C56" s="225">
        <v>1524</v>
      </c>
      <c r="D56" s="226">
        <v>65</v>
      </c>
      <c r="E56" s="227">
        <v>0</v>
      </c>
      <c r="F56" s="227">
        <v>1</v>
      </c>
      <c r="G56" s="227" t="s">
        <v>734</v>
      </c>
      <c r="H56" s="228">
        <v>9</v>
      </c>
      <c r="I56" s="600">
        <v>0.44</v>
      </c>
      <c r="J56" s="262"/>
      <c r="K56" s="262"/>
      <c r="L56" s="262"/>
      <c r="M56" s="262"/>
      <c r="N56" s="262"/>
    </row>
    <row r="57" spans="1:14" ht="14.5" x14ac:dyDescent="0.35">
      <c r="A57" s="192" t="s">
        <v>22</v>
      </c>
      <c r="B57" s="193">
        <v>45580</v>
      </c>
      <c r="C57" s="233">
        <v>2838</v>
      </c>
      <c r="D57" s="195">
        <v>385</v>
      </c>
      <c r="E57" s="215">
        <v>0</v>
      </c>
      <c r="F57" s="215">
        <v>7</v>
      </c>
      <c r="G57" s="215" t="s">
        <v>735</v>
      </c>
      <c r="H57" s="216">
        <v>12</v>
      </c>
      <c r="I57" s="594">
        <v>0.43</v>
      </c>
      <c r="J57" s="262"/>
      <c r="K57" s="262"/>
      <c r="L57" s="262"/>
      <c r="M57" s="262"/>
      <c r="N57" s="262"/>
    </row>
    <row r="58" spans="1:14" ht="14.5" x14ac:dyDescent="0.35">
      <c r="A58" s="192" t="s">
        <v>24</v>
      </c>
      <c r="B58" s="193">
        <v>45581</v>
      </c>
      <c r="C58" s="209">
        <v>977</v>
      </c>
      <c r="D58" s="213">
        <v>0</v>
      </c>
      <c r="E58" s="203">
        <v>0</v>
      </c>
      <c r="F58" s="203">
        <v>0</v>
      </c>
      <c r="G58" s="203" t="s">
        <v>648</v>
      </c>
      <c r="H58" s="204">
        <v>11</v>
      </c>
      <c r="I58" s="597">
        <v>0.41</v>
      </c>
      <c r="J58" s="262"/>
      <c r="K58" s="262"/>
      <c r="L58" s="262"/>
      <c r="M58" s="262"/>
      <c r="N58" s="262"/>
    </row>
    <row r="59" spans="1:14" ht="14.5" x14ac:dyDescent="0.35">
      <c r="A59" s="192" t="s">
        <v>10</v>
      </c>
      <c r="B59" s="193">
        <v>45582</v>
      </c>
      <c r="C59" s="233">
        <v>2186</v>
      </c>
      <c r="D59" s="234">
        <v>60</v>
      </c>
      <c r="E59" s="215">
        <v>0</v>
      </c>
      <c r="F59" s="215">
        <v>1</v>
      </c>
      <c r="G59" s="235" t="s">
        <v>736</v>
      </c>
      <c r="H59" s="216">
        <v>9</v>
      </c>
      <c r="I59" s="594">
        <v>0.42</v>
      </c>
      <c r="J59" s="262"/>
      <c r="K59" s="262"/>
      <c r="L59" s="262"/>
      <c r="M59" s="262"/>
      <c r="N59" s="262"/>
    </row>
    <row r="60" spans="1:14" ht="14.5" x14ac:dyDescent="0.35">
      <c r="A60" s="192" t="s">
        <v>13</v>
      </c>
      <c r="B60" s="193">
        <v>45583</v>
      </c>
      <c r="C60" s="237">
        <v>1698</v>
      </c>
      <c r="D60" s="238">
        <v>0</v>
      </c>
      <c r="E60" s="239">
        <v>0</v>
      </c>
      <c r="F60" s="239">
        <v>0</v>
      </c>
      <c r="G60" s="239" t="s">
        <v>737</v>
      </c>
      <c r="H60" s="240">
        <v>15</v>
      </c>
      <c r="I60" s="603">
        <v>0.42</v>
      </c>
      <c r="J60" s="262"/>
      <c r="K60" s="262"/>
      <c r="L60" s="262"/>
      <c r="M60" s="262"/>
      <c r="N60" s="262"/>
    </row>
    <row r="61" spans="1:14" ht="14.5" x14ac:dyDescent="0.35">
      <c r="A61" s="192" t="s">
        <v>16</v>
      </c>
      <c r="B61" s="193">
        <v>45584</v>
      </c>
      <c r="C61" s="214">
        <v>4127</v>
      </c>
      <c r="D61" s="195">
        <v>370</v>
      </c>
      <c r="E61" s="215">
        <v>0</v>
      </c>
      <c r="F61" s="215">
        <v>6</v>
      </c>
      <c r="G61" s="215" t="s">
        <v>738</v>
      </c>
      <c r="H61" s="216">
        <v>21</v>
      </c>
      <c r="I61" s="594">
        <v>0.44</v>
      </c>
      <c r="J61" s="262"/>
      <c r="K61" s="262"/>
      <c r="L61" s="262"/>
      <c r="M61" s="262"/>
      <c r="N61" s="262"/>
    </row>
    <row r="62" spans="1:14" ht="14.5" x14ac:dyDescent="0.35">
      <c r="A62" s="192" t="s">
        <v>18</v>
      </c>
      <c r="B62" s="193">
        <v>45585</v>
      </c>
      <c r="C62" s="237"/>
      <c r="D62" s="238"/>
      <c r="E62" s="239"/>
      <c r="F62" s="239"/>
      <c r="G62" s="215"/>
      <c r="H62" s="240"/>
      <c r="I62" s="603"/>
      <c r="J62" s="262"/>
      <c r="K62" s="262"/>
      <c r="L62" s="262"/>
      <c r="M62" s="262"/>
      <c r="N62" s="262"/>
    </row>
    <row r="63" spans="1:14" ht="14.5" x14ac:dyDescent="0.35">
      <c r="A63" s="192" t="s">
        <v>20</v>
      </c>
      <c r="B63" s="193">
        <v>45586</v>
      </c>
      <c r="C63" s="205">
        <v>2054</v>
      </c>
      <c r="D63" s="206">
        <v>55</v>
      </c>
      <c r="E63" s="207">
        <v>0</v>
      </c>
      <c r="F63" s="207">
        <v>5</v>
      </c>
      <c r="G63" s="207" t="s">
        <v>739</v>
      </c>
      <c r="H63" s="208">
        <v>15</v>
      </c>
      <c r="I63" s="589">
        <v>0.42</v>
      </c>
      <c r="J63" s="262"/>
      <c r="K63" s="262"/>
      <c r="L63" s="262"/>
      <c r="M63" s="262"/>
      <c r="N63" s="262"/>
    </row>
    <row r="64" spans="1:14" ht="14.5" x14ac:dyDescent="0.35">
      <c r="A64" s="192" t="s">
        <v>22</v>
      </c>
      <c r="B64" s="193">
        <v>45587</v>
      </c>
      <c r="C64" s="209">
        <v>2405</v>
      </c>
      <c r="D64" s="210">
        <v>160</v>
      </c>
      <c r="E64" s="211">
        <v>0</v>
      </c>
      <c r="F64" s="211">
        <v>2</v>
      </c>
      <c r="G64" s="211" t="s">
        <v>740</v>
      </c>
      <c r="H64" s="241">
        <v>10</v>
      </c>
      <c r="I64" s="590">
        <v>0.42</v>
      </c>
      <c r="J64" s="262"/>
      <c r="K64" s="262"/>
      <c r="L64" s="262"/>
      <c r="M64" s="262"/>
      <c r="N64" s="262"/>
    </row>
    <row r="65" spans="1:14" ht="14.5" x14ac:dyDescent="0.35">
      <c r="A65" s="192" t="s">
        <v>24</v>
      </c>
      <c r="B65" s="193">
        <v>45588</v>
      </c>
      <c r="C65" s="233">
        <v>1011</v>
      </c>
      <c r="D65" s="234">
        <v>50</v>
      </c>
      <c r="E65" s="235">
        <v>0</v>
      </c>
      <c r="F65" s="235">
        <v>0</v>
      </c>
      <c r="G65" s="467" t="s">
        <v>741</v>
      </c>
      <c r="H65" s="236">
        <v>8</v>
      </c>
      <c r="I65" s="602">
        <v>0.41</v>
      </c>
      <c r="J65" s="262"/>
      <c r="K65" s="262"/>
      <c r="L65" s="262"/>
      <c r="M65" s="262"/>
      <c r="N65" s="262"/>
    </row>
    <row r="66" spans="1:14" ht="14.5" x14ac:dyDescent="0.35">
      <c r="A66" s="192" t="s">
        <v>10</v>
      </c>
      <c r="B66" s="193">
        <v>45589</v>
      </c>
      <c r="C66" s="237">
        <v>1588</v>
      </c>
      <c r="D66" s="238">
        <v>0</v>
      </c>
      <c r="E66" s="239">
        <v>0</v>
      </c>
      <c r="F66" s="239">
        <v>1</v>
      </c>
      <c r="G66" s="239" t="s">
        <v>742</v>
      </c>
      <c r="H66" s="240">
        <v>10</v>
      </c>
      <c r="I66" s="603">
        <v>0.4</v>
      </c>
      <c r="J66" s="262"/>
      <c r="K66" s="262"/>
      <c r="L66" s="262"/>
      <c r="M66" s="262"/>
      <c r="N66" s="262"/>
    </row>
    <row r="67" spans="1:14" ht="14.5" x14ac:dyDescent="0.35">
      <c r="A67" s="192" t="s">
        <v>13</v>
      </c>
      <c r="B67" s="193">
        <v>45590</v>
      </c>
      <c r="C67" s="233">
        <v>2131</v>
      </c>
      <c r="D67" s="234">
        <v>25</v>
      </c>
      <c r="E67" s="235">
        <v>0</v>
      </c>
      <c r="F67" s="235">
        <v>0</v>
      </c>
      <c r="G67" s="235" t="s">
        <v>743</v>
      </c>
      <c r="H67" s="236">
        <v>16</v>
      </c>
      <c r="I67" s="602">
        <v>0.41</v>
      </c>
      <c r="J67" s="262"/>
      <c r="K67" s="262"/>
      <c r="L67" s="262"/>
      <c r="M67" s="262"/>
      <c r="N67" s="262"/>
    </row>
    <row r="68" spans="1:14" ht="14.5" x14ac:dyDescent="0.35">
      <c r="A68" s="192" t="s">
        <v>16</v>
      </c>
      <c r="B68" s="193">
        <v>45591</v>
      </c>
      <c r="C68" s="209">
        <v>3258</v>
      </c>
      <c r="D68" s="210">
        <v>275</v>
      </c>
      <c r="E68" s="211">
        <v>2</v>
      </c>
      <c r="F68" s="211">
        <v>6</v>
      </c>
      <c r="G68" s="211" t="s">
        <v>744</v>
      </c>
      <c r="H68" s="241">
        <v>16</v>
      </c>
      <c r="I68" s="590">
        <v>0.42</v>
      </c>
      <c r="J68" s="262"/>
      <c r="K68" s="262"/>
      <c r="L68" s="262"/>
      <c r="M68" s="262"/>
      <c r="N68" s="262"/>
    </row>
    <row r="69" spans="1:14" ht="14.5" x14ac:dyDescent="0.35">
      <c r="A69" s="192" t="s">
        <v>18</v>
      </c>
      <c r="B69" s="193">
        <v>45592</v>
      </c>
      <c r="C69" s="214"/>
      <c r="D69" s="195"/>
      <c r="E69" s="215"/>
      <c r="F69" s="215"/>
      <c r="G69" s="215"/>
      <c r="H69" s="216"/>
      <c r="I69" s="594"/>
      <c r="J69" s="262"/>
      <c r="K69" s="262"/>
      <c r="L69" s="262"/>
      <c r="M69" s="262"/>
      <c r="N69" s="262"/>
    </row>
    <row r="70" spans="1:14" ht="14.5" x14ac:dyDescent="0.35">
      <c r="A70" s="192" t="s">
        <v>20</v>
      </c>
      <c r="B70" s="193">
        <v>45593</v>
      </c>
      <c r="C70" s="212">
        <v>2445</v>
      </c>
      <c r="D70" s="213">
        <v>85</v>
      </c>
      <c r="E70" s="203">
        <v>0</v>
      </c>
      <c r="F70" s="203">
        <v>8</v>
      </c>
      <c r="G70" s="203" t="s">
        <v>745</v>
      </c>
      <c r="H70" s="204">
        <v>16</v>
      </c>
      <c r="I70" s="597">
        <v>0.45</v>
      </c>
      <c r="J70" s="262"/>
      <c r="K70" s="262"/>
      <c r="L70" s="262"/>
      <c r="M70" s="262"/>
      <c r="N70" s="262"/>
    </row>
    <row r="71" spans="1:14" ht="14.5" x14ac:dyDescent="0.35">
      <c r="A71" s="192" t="s">
        <v>22</v>
      </c>
      <c r="B71" s="193">
        <v>45594</v>
      </c>
      <c r="C71" s="233">
        <v>1833</v>
      </c>
      <c r="D71" s="263">
        <v>100</v>
      </c>
      <c r="E71" s="215">
        <v>0</v>
      </c>
      <c r="F71" s="215">
        <v>3</v>
      </c>
      <c r="G71" s="215" t="s">
        <v>746</v>
      </c>
      <c r="H71" s="216">
        <v>15</v>
      </c>
      <c r="I71" s="594">
        <v>0.45</v>
      </c>
      <c r="J71" s="262"/>
      <c r="K71" s="262"/>
      <c r="L71" s="262"/>
      <c r="M71" s="262"/>
      <c r="N71" s="262"/>
    </row>
    <row r="72" spans="1:14" ht="14.5" x14ac:dyDescent="0.35">
      <c r="A72" s="192" t="s">
        <v>24</v>
      </c>
      <c r="B72" s="193">
        <v>45595</v>
      </c>
      <c r="C72" s="212">
        <v>1878</v>
      </c>
      <c r="D72" s="213">
        <v>70</v>
      </c>
      <c r="E72" s="203">
        <v>0</v>
      </c>
      <c r="F72" s="203">
        <v>0</v>
      </c>
      <c r="G72" s="203" t="s">
        <v>747</v>
      </c>
      <c r="H72" s="204">
        <v>13</v>
      </c>
      <c r="I72" s="597">
        <v>0.43</v>
      </c>
      <c r="J72" s="262"/>
      <c r="K72" s="262"/>
      <c r="L72" s="262"/>
      <c r="M72" s="262"/>
      <c r="N72" s="262"/>
    </row>
    <row r="73" spans="1:14" thickBot="1" x14ac:dyDescent="0.4">
      <c r="A73" s="192" t="s">
        <v>10</v>
      </c>
      <c r="B73" s="193">
        <v>45596</v>
      </c>
      <c r="C73" s="264">
        <v>1075</v>
      </c>
      <c r="D73" s="265">
        <v>50</v>
      </c>
      <c r="E73" s="266">
        <v>0</v>
      </c>
      <c r="F73" s="266">
        <v>1</v>
      </c>
      <c r="G73" s="266" t="s">
        <v>748</v>
      </c>
      <c r="H73" s="267">
        <v>11</v>
      </c>
      <c r="I73" s="594">
        <v>0.44</v>
      </c>
      <c r="J73" s="262"/>
      <c r="K73" s="262"/>
      <c r="L73" s="262"/>
      <c r="M73" s="262"/>
      <c r="N73" s="262"/>
    </row>
    <row r="74" spans="1:14" thickBot="1" x14ac:dyDescent="0.4">
      <c r="A74" s="257"/>
      <c r="B74" s="268"/>
      <c r="C74" s="258">
        <f t="shared" ref="C74:H74" si="1">SUM(C43:C73)</f>
        <v>54103</v>
      </c>
      <c r="D74" s="259">
        <f t="shared" si="1"/>
        <v>2460</v>
      </c>
      <c r="E74" s="260">
        <f t="shared" si="1"/>
        <v>3</v>
      </c>
      <c r="F74" s="260">
        <f t="shared" si="1"/>
        <v>63</v>
      </c>
      <c r="G74" s="260">
        <f t="shared" si="1"/>
        <v>0</v>
      </c>
      <c r="H74" s="261">
        <f t="shared" si="1"/>
        <v>341</v>
      </c>
      <c r="I74" s="261"/>
      <c r="J74" s="508"/>
      <c r="K74" s="262"/>
      <c r="L74" s="262"/>
      <c r="M74" s="262"/>
      <c r="N74" s="262"/>
    </row>
    <row r="75" spans="1:14" ht="14.5" x14ac:dyDescent="0.35">
      <c r="A75" s="262"/>
      <c r="B75" s="474"/>
      <c r="C75" s="508"/>
      <c r="D75" s="262"/>
      <c r="E75" s="475"/>
      <c r="F75" s="511"/>
      <c r="G75" s="262"/>
      <c r="H75" s="262"/>
      <c r="I75" s="262"/>
      <c r="J75" s="262"/>
      <c r="K75" s="262"/>
      <c r="L75" s="262"/>
      <c r="M75" s="262"/>
    </row>
    <row r="76" spans="1:14" thickBot="1" x14ac:dyDescent="0.4">
      <c r="A76" s="262"/>
      <c r="B76" s="474"/>
      <c r="C76" s="508"/>
      <c r="D76" s="262"/>
      <c r="E76" s="508"/>
      <c r="F76" s="262"/>
      <c r="G76" s="262"/>
      <c r="H76" s="262"/>
      <c r="I76" s="262"/>
      <c r="J76" s="262"/>
      <c r="K76" s="262"/>
      <c r="L76" s="262"/>
      <c r="M76" s="262"/>
    </row>
    <row r="77" spans="1:14" ht="15.65" customHeight="1" x14ac:dyDescent="0.4">
      <c r="A77" s="348"/>
      <c r="B77" s="926" t="s">
        <v>53</v>
      </c>
      <c r="C77" s="935" t="s">
        <v>0</v>
      </c>
      <c r="D77" s="298" t="s">
        <v>2</v>
      </c>
      <c r="E77" s="184" t="s">
        <v>3</v>
      </c>
      <c r="F77" s="185" t="s">
        <v>143</v>
      </c>
      <c r="G77" s="186" t="s">
        <v>6</v>
      </c>
      <c r="H77" s="187" t="s">
        <v>7</v>
      </c>
      <c r="I77" s="587" t="s">
        <v>608</v>
      </c>
      <c r="J77" s="349"/>
      <c r="K77" s="349"/>
      <c r="L77" s="349"/>
      <c r="M77" s="349"/>
      <c r="N77" s="349"/>
    </row>
    <row r="78" spans="1:14" ht="29" x14ac:dyDescent="0.35">
      <c r="A78" s="497"/>
      <c r="B78" s="934"/>
      <c r="C78" s="936"/>
      <c r="D78" s="299" t="s">
        <v>0</v>
      </c>
      <c r="E78" s="188" t="s">
        <v>0</v>
      </c>
      <c r="F78" s="183" t="s">
        <v>0</v>
      </c>
      <c r="G78" s="500" t="s">
        <v>8</v>
      </c>
      <c r="H78" s="501" t="s">
        <v>9</v>
      </c>
      <c r="I78" s="588" t="s">
        <v>695</v>
      </c>
      <c r="J78" s="262"/>
      <c r="M78" s="262"/>
      <c r="N78" s="262"/>
    </row>
    <row r="79" spans="1:14" ht="14.5" x14ac:dyDescent="0.35">
      <c r="A79" s="192" t="s">
        <v>22</v>
      </c>
      <c r="B79" s="193">
        <v>45566</v>
      </c>
      <c r="C79" s="194">
        <v>1096</v>
      </c>
      <c r="D79" s="195">
        <v>29</v>
      </c>
      <c r="E79" s="196">
        <v>0</v>
      </c>
      <c r="F79" s="516">
        <v>1</v>
      </c>
      <c r="G79" s="215" t="s">
        <v>749</v>
      </c>
      <c r="H79" s="502">
        <v>14</v>
      </c>
      <c r="I79" s="502"/>
      <c r="J79" s="262"/>
      <c r="K79" s="923" t="s">
        <v>12</v>
      </c>
      <c r="L79" s="923"/>
      <c r="M79" s="262"/>
      <c r="N79" s="262"/>
    </row>
    <row r="80" spans="1:14" ht="14.5" x14ac:dyDescent="0.35">
      <c r="A80" s="192" t="s">
        <v>24</v>
      </c>
      <c r="B80" s="193">
        <v>45567</v>
      </c>
      <c r="C80" s="212">
        <v>1811</v>
      </c>
      <c r="D80" s="213">
        <v>127</v>
      </c>
      <c r="E80" s="203">
        <v>0</v>
      </c>
      <c r="F80" s="203">
        <v>0</v>
      </c>
      <c r="G80" s="203" t="s">
        <v>750</v>
      </c>
      <c r="H80" s="204">
        <v>9</v>
      </c>
      <c r="I80" s="204"/>
      <c r="J80" s="262"/>
      <c r="K80" s="513" t="s">
        <v>15</v>
      </c>
      <c r="L80" s="409">
        <v>55000</v>
      </c>
      <c r="M80" s="262"/>
      <c r="N80" s="262"/>
    </row>
    <row r="81" spans="1:14" ht="14.5" x14ac:dyDescent="0.35">
      <c r="A81" s="192" t="s">
        <v>10</v>
      </c>
      <c r="B81" s="193">
        <v>45568</v>
      </c>
      <c r="C81" s="205">
        <v>1917</v>
      </c>
      <c r="D81" s="206">
        <v>58</v>
      </c>
      <c r="E81" s="207">
        <v>2</v>
      </c>
      <c r="F81" s="207">
        <v>0</v>
      </c>
      <c r="G81" s="207" t="s">
        <v>751</v>
      </c>
      <c r="H81" s="208">
        <v>16</v>
      </c>
      <c r="I81" s="208"/>
      <c r="J81" s="262"/>
      <c r="K81" s="504" t="s">
        <v>17</v>
      </c>
      <c r="L81" s="411">
        <v>2400</v>
      </c>
      <c r="M81" s="262"/>
      <c r="N81" s="262"/>
    </row>
    <row r="82" spans="1:14" ht="14.5" x14ac:dyDescent="0.35">
      <c r="A82" s="192" t="s">
        <v>13</v>
      </c>
      <c r="B82" s="193">
        <v>45569</v>
      </c>
      <c r="C82" s="209">
        <v>3360</v>
      </c>
      <c r="D82" s="210">
        <v>29</v>
      </c>
      <c r="E82" s="211">
        <v>0</v>
      </c>
      <c r="F82" s="211">
        <v>2</v>
      </c>
      <c r="G82" s="211" t="s">
        <v>752</v>
      </c>
      <c r="H82" s="241">
        <v>12</v>
      </c>
      <c r="I82" s="590">
        <v>0.36</v>
      </c>
      <c r="J82" s="262"/>
      <c r="K82" s="515" t="s">
        <v>3</v>
      </c>
      <c r="L82" s="413">
        <v>20</v>
      </c>
      <c r="M82" s="262"/>
      <c r="N82" s="262"/>
    </row>
    <row r="83" spans="1:14" ht="14.5" x14ac:dyDescent="0.35">
      <c r="A83" s="192" t="s">
        <v>16</v>
      </c>
      <c r="B83" s="193">
        <v>45570</v>
      </c>
      <c r="C83" s="205">
        <v>2258</v>
      </c>
      <c r="D83" s="206">
        <v>29</v>
      </c>
      <c r="E83" s="207">
        <v>0</v>
      </c>
      <c r="F83" s="207">
        <v>2</v>
      </c>
      <c r="G83" s="207" t="s">
        <v>753</v>
      </c>
      <c r="H83" s="208">
        <v>14</v>
      </c>
      <c r="I83" s="589">
        <v>0.37</v>
      </c>
      <c r="J83" s="262"/>
      <c r="K83" s="591" t="s">
        <v>614</v>
      </c>
      <c r="L83" s="592">
        <v>0.4</v>
      </c>
      <c r="M83" s="262"/>
      <c r="N83" s="262"/>
    </row>
    <row r="84" spans="1:14" ht="14.5" x14ac:dyDescent="0.35">
      <c r="A84" s="192" t="s">
        <v>18</v>
      </c>
      <c r="B84" s="193">
        <v>45571</v>
      </c>
      <c r="C84" s="212"/>
      <c r="D84" s="213"/>
      <c r="E84" s="203"/>
      <c r="F84" s="203"/>
      <c r="G84" s="203"/>
      <c r="H84" s="204"/>
      <c r="I84" s="204"/>
      <c r="J84" s="262"/>
      <c r="K84" s="262"/>
      <c r="L84" s="262"/>
      <c r="M84" s="262"/>
      <c r="N84" s="262"/>
    </row>
    <row r="85" spans="1:14" ht="14.5" x14ac:dyDescent="0.35">
      <c r="A85" s="192" t="s">
        <v>20</v>
      </c>
      <c r="B85" s="193">
        <v>45572</v>
      </c>
      <c r="C85" s="214">
        <v>2078</v>
      </c>
      <c r="D85" s="195">
        <v>58</v>
      </c>
      <c r="E85" s="215">
        <v>0</v>
      </c>
      <c r="F85" s="215">
        <v>0</v>
      </c>
      <c r="G85" s="215" t="s">
        <v>754</v>
      </c>
      <c r="H85" s="216">
        <v>15</v>
      </c>
      <c r="I85" s="594">
        <v>0.28999999999999998</v>
      </c>
      <c r="J85" s="262"/>
      <c r="K85" s="262"/>
      <c r="L85" s="262"/>
      <c r="M85" s="262"/>
      <c r="N85" s="262"/>
    </row>
    <row r="86" spans="1:14" ht="14.5" x14ac:dyDescent="0.35">
      <c r="A86" s="192" t="s">
        <v>22</v>
      </c>
      <c r="B86" s="193">
        <v>45573</v>
      </c>
      <c r="C86" s="217">
        <v>3277</v>
      </c>
      <c r="D86" s="218">
        <v>203</v>
      </c>
      <c r="E86" s="219">
        <v>0</v>
      </c>
      <c r="F86" s="219">
        <v>4</v>
      </c>
      <c r="G86" s="219" t="s">
        <v>755</v>
      </c>
      <c r="H86" s="220">
        <v>23</v>
      </c>
      <c r="I86" s="598">
        <v>0.3</v>
      </c>
      <c r="J86" s="262"/>
      <c r="K86" s="262"/>
      <c r="L86" s="262"/>
      <c r="M86" s="262"/>
      <c r="N86" s="262"/>
    </row>
    <row r="87" spans="1:14" ht="14.5" x14ac:dyDescent="0.35">
      <c r="A87" s="192" t="s">
        <v>24</v>
      </c>
      <c r="B87" s="193">
        <v>45574</v>
      </c>
      <c r="C87" s="221">
        <v>1993</v>
      </c>
      <c r="D87" s="222">
        <v>58</v>
      </c>
      <c r="E87" s="223">
        <v>3</v>
      </c>
      <c r="F87" s="223">
        <v>0</v>
      </c>
      <c r="G87" s="223" t="s">
        <v>756</v>
      </c>
      <c r="H87" s="224">
        <v>11</v>
      </c>
      <c r="I87" s="599">
        <v>0.28000000000000003</v>
      </c>
      <c r="J87" s="262"/>
      <c r="K87" s="262"/>
      <c r="L87" s="262"/>
      <c r="M87" s="262"/>
      <c r="N87" s="262"/>
    </row>
    <row r="88" spans="1:14" ht="14.5" x14ac:dyDescent="0.35">
      <c r="A88" s="192" t="s">
        <v>10</v>
      </c>
      <c r="B88" s="193">
        <v>45575</v>
      </c>
      <c r="C88" s="225">
        <v>1763</v>
      </c>
      <c r="D88" s="226">
        <v>87</v>
      </c>
      <c r="E88" s="227">
        <v>0</v>
      </c>
      <c r="F88" s="227">
        <v>1</v>
      </c>
      <c r="G88" s="227" t="s">
        <v>757</v>
      </c>
      <c r="H88" s="228">
        <v>15</v>
      </c>
      <c r="I88" s="600">
        <v>0.26</v>
      </c>
      <c r="J88" s="262"/>
      <c r="K88" s="262"/>
      <c r="L88" s="262"/>
      <c r="M88" s="262"/>
      <c r="N88" s="262"/>
    </row>
    <row r="89" spans="1:14" ht="14.5" x14ac:dyDescent="0.35">
      <c r="A89" s="192" t="s">
        <v>13</v>
      </c>
      <c r="B89" s="193">
        <v>45576</v>
      </c>
      <c r="C89" s="229">
        <v>1964</v>
      </c>
      <c r="D89" s="230">
        <v>0</v>
      </c>
      <c r="E89" s="231">
        <v>2</v>
      </c>
      <c r="F89" s="231">
        <v>1</v>
      </c>
      <c r="G89" s="231" t="s">
        <v>758</v>
      </c>
      <c r="H89" s="232">
        <v>18</v>
      </c>
      <c r="I89" s="601">
        <v>0.24</v>
      </c>
      <c r="J89" s="262"/>
      <c r="K89" s="262"/>
      <c r="L89" s="262"/>
      <c r="M89" s="262"/>
      <c r="N89" s="262"/>
    </row>
    <row r="90" spans="1:14" ht="14.5" x14ac:dyDescent="0.35">
      <c r="A90" s="192" t="s">
        <v>16</v>
      </c>
      <c r="B90" s="193">
        <v>45577</v>
      </c>
      <c r="C90" s="225">
        <v>2650</v>
      </c>
      <c r="D90" s="226">
        <v>145</v>
      </c>
      <c r="E90" s="227">
        <v>0</v>
      </c>
      <c r="F90" s="227">
        <v>0</v>
      </c>
      <c r="G90" s="227" t="s">
        <v>759</v>
      </c>
      <c r="H90" s="228">
        <v>19</v>
      </c>
      <c r="I90" s="600">
        <v>0.21</v>
      </c>
      <c r="J90" s="262"/>
      <c r="K90" s="262"/>
      <c r="L90" s="262"/>
      <c r="M90" s="262"/>
      <c r="N90" s="262"/>
    </row>
    <row r="91" spans="1:14" ht="14.5" x14ac:dyDescent="0.35">
      <c r="A91" s="192" t="s">
        <v>18</v>
      </c>
      <c r="B91" s="193">
        <v>45578</v>
      </c>
      <c r="C91" s="233"/>
      <c r="D91" s="234"/>
      <c r="E91" s="235"/>
      <c r="F91" s="235"/>
      <c r="G91" s="235"/>
      <c r="H91" s="236"/>
      <c r="I91" s="602"/>
      <c r="J91" s="262"/>
      <c r="K91" s="262"/>
      <c r="L91" s="262"/>
      <c r="M91" s="262"/>
      <c r="N91" s="262"/>
    </row>
    <row r="92" spans="1:14" ht="14.5" x14ac:dyDescent="0.35">
      <c r="A92" s="192" t="s">
        <v>20</v>
      </c>
      <c r="B92" s="193">
        <v>45579</v>
      </c>
      <c r="C92" s="225">
        <v>2444</v>
      </c>
      <c r="D92" s="226">
        <v>172</v>
      </c>
      <c r="E92" s="227">
        <v>2</v>
      </c>
      <c r="F92" s="227">
        <v>4</v>
      </c>
      <c r="G92" s="227" t="s">
        <v>760</v>
      </c>
      <c r="H92" s="228">
        <v>23</v>
      </c>
      <c r="I92" s="600">
        <v>0.18</v>
      </c>
      <c r="J92" s="262"/>
      <c r="K92" s="262"/>
      <c r="L92" s="262"/>
      <c r="M92" s="262"/>
      <c r="N92" s="262"/>
    </row>
    <row r="93" spans="1:14" ht="14.5" x14ac:dyDescent="0.35">
      <c r="A93" s="192" t="s">
        <v>22</v>
      </c>
      <c r="B93" s="193">
        <v>45580</v>
      </c>
      <c r="C93" s="233">
        <v>3290</v>
      </c>
      <c r="D93" s="195">
        <v>58</v>
      </c>
      <c r="E93" s="215">
        <v>1</v>
      </c>
      <c r="F93" s="215">
        <v>3</v>
      </c>
      <c r="G93" s="215" t="s">
        <v>761</v>
      </c>
      <c r="H93" s="216">
        <v>20</v>
      </c>
      <c r="I93" s="594">
        <v>0.18</v>
      </c>
      <c r="J93" s="262"/>
      <c r="K93" s="262"/>
      <c r="L93" s="262"/>
      <c r="M93" s="262"/>
      <c r="N93" s="262"/>
    </row>
    <row r="94" spans="1:14" ht="14.5" x14ac:dyDescent="0.35">
      <c r="A94" s="192" t="s">
        <v>24</v>
      </c>
      <c r="B94" s="193">
        <v>45581</v>
      </c>
      <c r="C94" s="209">
        <v>1831</v>
      </c>
      <c r="D94" s="213">
        <v>58</v>
      </c>
      <c r="E94" s="203">
        <v>0</v>
      </c>
      <c r="F94" s="203">
        <v>1</v>
      </c>
      <c r="G94" s="203" t="s">
        <v>762</v>
      </c>
      <c r="H94" s="204">
        <v>15</v>
      </c>
      <c r="I94" s="597">
        <v>0.19</v>
      </c>
      <c r="J94" s="262"/>
      <c r="K94" s="262"/>
      <c r="L94" s="262"/>
      <c r="M94" s="262"/>
      <c r="N94" s="262"/>
    </row>
    <row r="95" spans="1:14" ht="14.5" x14ac:dyDescent="0.35">
      <c r="A95" s="192" t="s">
        <v>10</v>
      </c>
      <c r="B95" s="193">
        <v>45582</v>
      </c>
      <c r="C95" s="233">
        <v>3461</v>
      </c>
      <c r="D95" s="234">
        <v>58</v>
      </c>
      <c r="E95" s="215">
        <v>2</v>
      </c>
      <c r="F95" s="215">
        <v>5</v>
      </c>
      <c r="G95" s="235" t="s">
        <v>763</v>
      </c>
      <c r="H95" s="216">
        <v>19</v>
      </c>
      <c r="I95" s="594">
        <v>0.19</v>
      </c>
      <c r="J95" s="262"/>
      <c r="K95" s="262"/>
      <c r="L95" s="262"/>
      <c r="M95" s="262"/>
      <c r="N95" s="262"/>
    </row>
    <row r="96" spans="1:14" ht="14.5" x14ac:dyDescent="0.35">
      <c r="A96" s="192" t="s">
        <v>13</v>
      </c>
      <c r="B96" s="193">
        <v>45583</v>
      </c>
      <c r="C96" s="237">
        <v>3902</v>
      </c>
      <c r="D96" s="270">
        <v>140</v>
      </c>
      <c r="E96" s="239">
        <v>3</v>
      </c>
      <c r="F96" s="239">
        <v>3</v>
      </c>
      <c r="G96" s="239" t="s">
        <v>764</v>
      </c>
      <c r="H96" s="240">
        <v>15</v>
      </c>
      <c r="I96" s="603">
        <v>0.19</v>
      </c>
      <c r="J96" s="262"/>
      <c r="K96" s="262"/>
      <c r="L96" s="262"/>
      <c r="M96" s="262"/>
      <c r="N96" s="262"/>
    </row>
    <row r="97" spans="1:14" ht="14.5" x14ac:dyDescent="0.35">
      <c r="A97" s="192" t="s">
        <v>16</v>
      </c>
      <c r="B97" s="193">
        <v>45584</v>
      </c>
      <c r="C97" s="214">
        <v>2102</v>
      </c>
      <c r="D97" s="195">
        <v>116</v>
      </c>
      <c r="E97" s="215">
        <v>2</v>
      </c>
      <c r="F97" s="215">
        <v>4</v>
      </c>
      <c r="G97" s="215" t="s">
        <v>765</v>
      </c>
      <c r="H97" s="216">
        <v>21</v>
      </c>
      <c r="I97" s="594">
        <v>0.22</v>
      </c>
      <c r="J97" s="262"/>
      <c r="K97" s="262"/>
      <c r="L97" s="262"/>
      <c r="M97" s="262"/>
      <c r="N97" s="262"/>
    </row>
    <row r="98" spans="1:14" ht="14.5" x14ac:dyDescent="0.35">
      <c r="A98" s="192" t="s">
        <v>18</v>
      </c>
      <c r="B98" s="193">
        <v>45585</v>
      </c>
      <c r="C98" s="237"/>
      <c r="D98" s="238"/>
      <c r="E98" s="239"/>
      <c r="F98" s="239"/>
      <c r="G98" s="215"/>
      <c r="H98" s="240"/>
      <c r="I98" s="603"/>
      <c r="J98" s="262"/>
      <c r="K98" s="262"/>
      <c r="L98" s="262"/>
      <c r="M98" s="262"/>
      <c r="N98" s="262"/>
    </row>
    <row r="99" spans="1:14" ht="14.5" x14ac:dyDescent="0.35">
      <c r="A99" s="192" t="s">
        <v>20</v>
      </c>
      <c r="B99" s="193">
        <v>45586</v>
      </c>
      <c r="C99" s="205">
        <v>5421</v>
      </c>
      <c r="D99" s="206">
        <v>87</v>
      </c>
      <c r="E99" s="207">
        <v>4</v>
      </c>
      <c r="F99" s="207">
        <v>2</v>
      </c>
      <c r="G99" s="207" t="s">
        <v>766</v>
      </c>
      <c r="H99" s="208">
        <v>22</v>
      </c>
      <c r="I99" s="589">
        <v>0.23</v>
      </c>
      <c r="J99" s="262"/>
      <c r="K99" s="262"/>
      <c r="L99" s="262"/>
      <c r="M99" s="262"/>
      <c r="N99" s="262"/>
    </row>
    <row r="100" spans="1:14" ht="14.5" x14ac:dyDescent="0.35">
      <c r="A100" s="192" t="s">
        <v>22</v>
      </c>
      <c r="B100" s="193">
        <v>45587</v>
      </c>
      <c r="C100" s="209">
        <v>1589</v>
      </c>
      <c r="D100" s="210">
        <v>58</v>
      </c>
      <c r="E100" s="211">
        <v>1</v>
      </c>
      <c r="F100" s="211">
        <v>4</v>
      </c>
      <c r="G100" s="211" t="s">
        <v>767</v>
      </c>
      <c r="H100" s="241">
        <v>18</v>
      </c>
      <c r="I100" s="590">
        <v>0.25</v>
      </c>
      <c r="J100" s="262"/>
      <c r="K100" s="262"/>
      <c r="L100" s="262"/>
      <c r="M100" s="262"/>
      <c r="N100" s="262"/>
    </row>
    <row r="101" spans="1:14" ht="14.5" x14ac:dyDescent="0.35">
      <c r="A101" s="192" t="s">
        <v>24</v>
      </c>
      <c r="B101" s="193">
        <v>45588</v>
      </c>
      <c r="C101" s="233">
        <v>1134</v>
      </c>
      <c r="D101" s="234">
        <v>0</v>
      </c>
      <c r="E101" s="235">
        <v>0</v>
      </c>
      <c r="F101" s="235">
        <v>0</v>
      </c>
      <c r="G101" s="235" t="s">
        <v>768</v>
      </c>
      <c r="H101" s="236">
        <v>18</v>
      </c>
      <c r="I101" s="602">
        <v>0.25</v>
      </c>
      <c r="J101" s="262"/>
      <c r="K101" s="262"/>
      <c r="L101" s="262"/>
      <c r="M101" s="262"/>
      <c r="N101" s="262"/>
    </row>
    <row r="102" spans="1:14" ht="14.5" x14ac:dyDescent="0.35">
      <c r="A102" s="192" t="s">
        <v>10</v>
      </c>
      <c r="B102" s="193">
        <v>45589</v>
      </c>
      <c r="C102" s="237">
        <v>2267</v>
      </c>
      <c r="D102" s="238">
        <v>87</v>
      </c>
      <c r="E102" s="239">
        <v>3</v>
      </c>
      <c r="F102" s="239">
        <v>0</v>
      </c>
      <c r="G102" s="239" t="s">
        <v>769</v>
      </c>
      <c r="H102" s="240">
        <v>16</v>
      </c>
      <c r="I102" s="603">
        <v>0.26</v>
      </c>
      <c r="J102" s="262"/>
      <c r="K102" s="262"/>
      <c r="L102" s="262"/>
      <c r="M102" s="262"/>
      <c r="N102" s="262"/>
    </row>
    <row r="103" spans="1:14" ht="14.5" x14ac:dyDescent="0.35">
      <c r="A103" s="192" t="s">
        <v>13</v>
      </c>
      <c r="B103" s="193">
        <v>45590</v>
      </c>
      <c r="C103" s="233">
        <v>3574</v>
      </c>
      <c r="D103" s="234">
        <v>128</v>
      </c>
      <c r="E103" s="235">
        <v>2</v>
      </c>
      <c r="F103" s="235">
        <v>2</v>
      </c>
      <c r="G103" s="235" t="s">
        <v>770</v>
      </c>
      <c r="H103" s="236">
        <v>11</v>
      </c>
      <c r="I103" s="602">
        <v>0.25</v>
      </c>
      <c r="J103" s="262"/>
      <c r="K103" s="262"/>
      <c r="L103" s="262"/>
      <c r="M103" s="508"/>
      <c r="N103" s="262"/>
    </row>
    <row r="104" spans="1:14" ht="14.5" x14ac:dyDescent="0.35">
      <c r="A104" s="192" t="s">
        <v>16</v>
      </c>
      <c r="B104" s="193">
        <v>45591</v>
      </c>
      <c r="C104" s="209">
        <v>4130</v>
      </c>
      <c r="D104" s="210">
        <v>137</v>
      </c>
      <c r="E104" s="211">
        <v>0</v>
      </c>
      <c r="F104" s="211">
        <v>2</v>
      </c>
      <c r="G104" s="211" t="s">
        <v>771</v>
      </c>
      <c r="H104" s="241">
        <v>24</v>
      </c>
      <c r="I104" s="590">
        <v>0.25</v>
      </c>
      <c r="J104" s="262"/>
      <c r="K104" s="262"/>
      <c r="L104" s="262"/>
      <c r="M104" s="508"/>
      <c r="N104" s="262"/>
    </row>
    <row r="105" spans="1:14" ht="14.5" x14ac:dyDescent="0.35">
      <c r="A105" s="192" t="s">
        <v>18</v>
      </c>
      <c r="B105" s="193">
        <v>45592</v>
      </c>
      <c r="C105" s="214"/>
      <c r="D105" s="195"/>
      <c r="E105" s="215"/>
      <c r="F105" s="215"/>
      <c r="G105" s="215"/>
      <c r="H105" s="271"/>
      <c r="I105" s="607"/>
      <c r="J105" s="262"/>
      <c r="K105" s="262"/>
      <c r="L105" s="262"/>
      <c r="M105" s="262"/>
      <c r="N105" s="262"/>
    </row>
    <row r="106" spans="1:14" ht="14.5" x14ac:dyDescent="0.35">
      <c r="A106" s="192" t="s">
        <v>20</v>
      </c>
      <c r="B106" s="193">
        <v>45593</v>
      </c>
      <c r="C106" s="212">
        <v>2515</v>
      </c>
      <c r="D106" s="213">
        <v>58</v>
      </c>
      <c r="E106" s="203">
        <v>1</v>
      </c>
      <c r="F106" s="203">
        <v>4</v>
      </c>
      <c r="G106" s="215" t="s">
        <v>772</v>
      </c>
      <c r="H106" s="204">
        <v>20</v>
      </c>
      <c r="I106" s="597">
        <v>0.26</v>
      </c>
      <c r="J106" s="262"/>
      <c r="M106" s="262"/>
      <c r="N106" s="262"/>
    </row>
    <row r="107" spans="1:14" ht="14.5" x14ac:dyDescent="0.35">
      <c r="A107" s="192" t="s">
        <v>22</v>
      </c>
      <c r="B107" s="193">
        <v>45594</v>
      </c>
      <c r="C107" s="233">
        <v>2654</v>
      </c>
      <c r="D107" s="195">
        <v>29</v>
      </c>
      <c r="E107" s="215">
        <v>1</v>
      </c>
      <c r="F107" s="247">
        <v>0</v>
      </c>
      <c r="G107" s="262" t="s">
        <v>773</v>
      </c>
      <c r="H107" s="216">
        <v>11</v>
      </c>
      <c r="I107" s="594">
        <v>0.27</v>
      </c>
      <c r="J107" s="262"/>
      <c r="M107" s="262"/>
      <c r="N107" s="262"/>
    </row>
    <row r="108" spans="1:14" ht="14.5" x14ac:dyDescent="0.35">
      <c r="A108" s="192" t="s">
        <v>24</v>
      </c>
      <c r="B108" s="193">
        <v>45595</v>
      </c>
      <c r="C108" s="212">
        <v>2564</v>
      </c>
      <c r="D108" s="213">
        <v>112</v>
      </c>
      <c r="E108" s="203">
        <v>0</v>
      </c>
      <c r="F108" s="203">
        <v>0</v>
      </c>
      <c r="G108" s="203" t="s">
        <v>774</v>
      </c>
      <c r="H108" s="204">
        <v>10</v>
      </c>
      <c r="I108" s="597">
        <v>0.27</v>
      </c>
      <c r="J108" s="262"/>
      <c r="M108" s="262"/>
      <c r="N108" s="262"/>
    </row>
    <row r="109" spans="1:14" thickBot="1" x14ac:dyDescent="0.4">
      <c r="A109" s="192" t="s">
        <v>10</v>
      </c>
      <c r="B109" s="193">
        <v>45596</v>
      </c>
      <c r="C109" s="264">
        <v>4218</v>
      </c>
      <c r="D109" s="265">
        <v>370</v>
      </c>
      <c r="E109" s="266">
        <v>1</v>
      </c>
      <c r="F109" s="266">
        <v>3</v>
      </c>
      <c r="G109" s="266" t="s">
        <v>775</v>
      </c>
      <c r="H109" s="267">
        <v>17</v>
      </c>
      <c r="I109" s="608">
        <v>0.26</v>
      </c>
      <c r="J109" s="262"/>
      <c r="M109" s="262"/>
      <c r="N109" s="262"/>
    </row>
    <row r="110" spans="1:14" thickBot="1" x14ac:dyDescent="0.4">
      <c r="A110" s="257"/>
      <c r="B110" s="268"/>
      <c r="C110" s="258">
        <f>SUM(C79:C109)</f>
        <v>71263</v>
      </c>
      <c r="D110" s="259">
        <f>SUM(D79:D109)</f>
        <v>2491</v>
      </c>
      <c r="E110" s="260">
        <f>SUM(E79:E109)</f>
        <v>30</v>
      </c>
      <c r="F110" s="260">
        <f>SUM(F79:F109)</f>
        <v>48</v>
      </c>
      <c r="G110" s="261"/>
      <c r="H110" s="261">
        <f>SUM(H79:H109)</f>
        <v>446</v>
      </c>
      <c r="I110" s="261"/>
      <c r="J110" s="508"/>
      <c r="K110" s="262"/>
      <c r="L110" s="262"/>
      <c r="M110" s="262"/>
      <c r="N110" s="262"/>
    </row>
    <row r="111" spans="1:14" ht="14.5" x14ac:dyDescent="0.35">
      <c r="A111" s="262"/>
      <c r="B111" s="474"/>
      <c r="C111" s="508"/>
      <c r="D111" s="475"/>
      <c r="E111" s="511"/>
      <c r="F111" s="262"/>
      <c r="G111" s="262"/>
      <c r="H111" s="262"/>
      <c r="I111" s="262"/>
      <c r="J111" s="262"/>
      <c r="K111" s="262"/>
      <c r="L111" s="262"/>
      <c r="M111" s="262"/>
    </row>
    <row r="112" spans="1:14" ht="14.5" x14ac:dyDescent="0.35">
      <c r="A112" s="262"/>
      <c r="B112" s="474"/>
      <c r="C112" s="508"/>
      <c r="D112" s="475"/>
      <c r="E112" s="511"/>
      <c r="F112" s="262"/>
      <c r="G112" s="262"/>
      <c r="H112" s="262"/>
      <c r="I112" s="262"/>
      <c r="J112" s="262"/>
      <c r="K112" s="262"/>
      <c r="L112" s="262"/>
      <c r="M112" s="262"/>
    </row>
    <row r="113" spans="1:13" ht="16" x14ac:dyDescent="0.4">
      <c r="A113" s="262"/>
      <c r="B113" s="474"/>
      <c r="C113" s="508"/>
      <c r="D113" s="475"/>
      <c r="E113" s="511"/>
      <c r="F113" s="262"/>
      <c r="G113" s="262"/>
      <c r="H113" s="262"/>
      <c r="I113" s="349"/>
      <c r="J113" s="349"/>
      <c r="K113" s="349"/>
      <c r="L113" s="349"/>
      <c r="M113" s="262"/>
    </row>
    <row r="114" spans="1:13" ht="25" customHeight="1" thickBot="1" x14ac:dyDescent="0.4">
      <c r="A114" s="262"/>
      <c r="B114" s="474"/>
      <c r="C114" s="508"/>
      <c r="D114" s="475"/>
      <c r="E114" s="511"/>
      <c r="F114" s="262"/>
      <c r="G114" s="262"/>
      <c r="H114" s="262"/>
      <c r="I114" s="262"/>
      <c r="J114" s="262"/>
      <c r="M114" s="262"/>
    </row>
    <row r="115" spans="1:13" ht="16" customHeight="1" x14ac:dyDescent="0.4">
      <c r="A115" s="2"/>
      <c r="B115" s="926" t="s">
        <v>70</v>
      </c>
      <c r="C115" s="935" t="s">
        <v>0</v>
      </c>
      <c r="D115" s="298" t="s">
        <v>2</v>
      </c>
      <c r="E115" s="184" t="s">
        <v>3</v>
      </c>
      <c r="F115" s="185" t="s">
        <v>143</v>
      </c>
      <c r="G115" s="186" t="s">
        <v>6</v>
      </c>
      <c r="H115" s="187" t="s">
        <v>7</v>
      </c>
      <c r="I115" s="587" t="s">
        <v>608</v>
      </c>
      <c r="J115" s="262"/>
      <c r="M115" s="262"/>
    </row>
    <row r="116" spans="1:13" ht="29.15" customHeight="1" x14ac:dyDescent="0.35">
      <c r="A116" s="8"/>
      <c r="B116" s="934"/>
      <c r="C116" s="936"/>
      <c r="D116" s="299" t="s">
        <v>0</v>
      </c>
      <c r="E116" s="188" t="s">
        <v>0</v>
      </c>
      <c r="F116" s="183" t="s">
        <v>0</v>
      </c>
      <c r="G116" s="189" t="s">
        <v>8</v>
      </c>
      <c r="H116" s="190" t="s">
        <v>9</v>
      </c>
      <c r="I116" s="588" t="s">
        <v>695</v>
      </c>
      <c r="J116" s="262"/>
      <c r="M116" s="262"/>
    </row>
    <row r="117" spans="1:13" ht="14.5" x14ac:dyDescent="0.35">
      <c r="A117" s="192" t="s">
        <v>22</v>
      </c>
      <c r="B117" s="193">
        <v>45566</v>
      </c>
      <c r="C117" s="194">
        <v>215</v>
      </c>
      <c r="D117" s="195">
        <v>0</v>
      </c>
      <c r="E117" s="196">
        <v>0</v>
      </c>
      <c r="F117" s="269">
        <v>0</v>
      </c>
      <c r="G117" s="262" t="s">
        <v>776</v>
      </c>
      <c r="H117" s="199">
        <v>3</v>
      </c>
      <c r="I117" s="199"/>
      <c r="J117" s="262"/>
      <c r="M117" s="262"/>
    </row>
    <row r="118" spans="1:13" ht="14.5" x14ac:dyDescent="0.35">
      <c r="A118" s="192" t="s">
        <v>24</v>
      </c>
      <c r="B118" s="193">
        <v>45567</v>
      </c>
      <c r="C118" s="212">
        <v>1816</v>
      </c>
      <c r="D118" s="213">
        <v>140</v>
      </c>
      <c r="E118" s="203">
        <v>0</v>
      </c>
      <c r="F118" s="203">
        <v>1</v>
      </c>
      <c r="G118" s="203" t="s">
        <v>777</v>
      </c>
      <c r="H118" s="204">
        <v>13</v>
      </c>
      <c r="I118" s="204"/>
      <c r="J118" s="262"/>
      <c r="K118" s="517"/>
      <c r="L118" s="473"/>
      <c r="M118" s="262"/>
    </row>
    <row r="119" spans="1:13" ht="14.5" x14ac:dyDescent="0.35">
      <c r="A119" s="192" t="s">
        <v>10</v>
      </c>
      <c r="B119" s="193">
        <v>45568</v>
      </c>
      <c r="C119" s="205">
        <v>1050</v>
      </c>
      <c r="D119" s="206">
        <v>30</v>
      </c>
      <c r="E119" s="207">
        <v>0</v>
      </c>
      <c r="F119" s="207">
        <v>0</v>
      </c>
      <c r="G119" s="207" t="s">
        <v>778</v>
      </c>
      <c r="H119" s="208">
        <v>7</v>
      </c>
      <c r="I119" s="208"/>
      <c r="J119" s="262"/>
      <c r="K119" s="923" t="s">
        <v>12</v>
      </c>
      <c r="L119" s="923"/>
      <c r="M119" s="262"/>
    </row>
    <row r="120" spans="1:13" ht="14.5" x14ac:dyDescent="0.35">
      <c r="A120" s="192" t="s">
        <v>13</v>
      </c>
      <c r="B120" s="193">
        <v>45569</v>
      </c>
      <c r="C120" s="209">
        <v>1536</v>
      </c>
      <c r="D120" s="210">
        <v>50</v>
      </c>
      <c r="E120" s="211">
        <v>0</v>
      </c>
      <c r="F120" s="211">
        <v>0</v>
      </c>
      <c r="G120" s="211" t="s">
        <v>779</v>
      </c>
      <c r="H120" s="241">
        <v>5</v>
      </c>
      <c r="I120" s="590">
        <v>0.24</v>
      </c>
      <c r="J120" s="262"/>
      <c r="K120" s="513" t="s">
        <v>15</v>
      </c>
      <c r="L120" s="409">
        <v>48000</v>
      </c>
      <c r="M120" s="262"/>
    </row>
    <row r="121" spans="1:13" ht="14.5" x14ac:dyDescent="0.35">
      <c r="A121" s="192" t="s">
        <v>16</v>
      </c>
      <c r="B121" s="193">
        <v>45570</v>
      </c>
      <c r="C121" s="205">
        <v>1466</v>
      </c>
      <c r="D121" s="206">
        <v>0</v>
      </c>
      <c r="E121" s="207">
        <v>0</v>
      </c>
      <c r="F121" s="207">
        <v>0</v>
      </c>
      <c r="G121" s="207" t="s">
        <v>780</v>
      </c>
      <c r="H121" s="208">
        <v>5</v>
      </c>
      <c r="I121" s="589">
        <v>0.24</v>
      </c>
      <c r="J121" s="262"/>
      <c r="K121" s="504" t="s">
        <v>17</v>
      </c>
      <c r="L121" s="411">
        <v>1200</v>
      </c>
      <c r="M121" s="262"/>
    </row>
    <row r="122" spans="1:13" ht="14.5" x14ac:dyDescent="0.35">
      <c r="A122" s="192" t="s">
        <v>18</v>
      </c>
      <c r="B122" s="193">
        <v>45571</v>
      </c>
      <c r="C122" s="212"/>
      <c r="D122" s="213"/>
      <c r="E122" s="203"/>
      <c r="F122" s="203"/>
      <c r="G122" s="203"/>
      <c r="H122" s="204"/>
      <c r="I122" s="204"/>
      <c r="J122" s="262"/>
      <c r="K122" s="515" t="s">
        <v>3</v>
      </c>
      <c r="L122" s="413">
        <v>8</v>
      </c>
      <c r="M122" s="262"/>
    </row>
    <row r="123" spans="1:13" ht="14.5" x14ac:dyDescent="0.35">
      <c r="A123" s="192" t="s">
        <v>20</v>
      </c>
      <c r="B123" s="193">
        <v>45572</v>
      </c>
      <c r="C123" s="214">
        <v>975</v>
      </c>
      <c r="D123" s="195">
        <v>60</v>
      </c>
      <c r="E123" s="215">
        <v>0</v>
      </c>
      <c r="F123" s="215">
        <v>1</v>
      </c>
      <c r="G123" s="215" t="s">
        <v>781</v>
      </c>
      <c r="H123" s="216">
        <v>10</v>
      </c>
      <c r="I123" s="594">
        <v>0.28000000000000003</v>
      </c>
      <c r="J123" s="262"/>
      <c r="K123" s="591" t="s">
        <v>614</v>
      </c>
      <c r="L123" s="592">
        <v>0.4</v>
      </c>
      <c r="M123" s="262"/>
    </row>
    <row r="124" spans="1:13" ht="14.5" x14ac:dyDescent="0.35">
      <c r="A124" s="192" t="s">
        <v>22</v>
      </c>
      <c r="B124" s="193">
        <v>45573</v>
      </c>
      <c r="C124" s="217">
        <v>1066</v>
      </c>
      <c r="D124" s="218">
        <v>90</v>
      </c>
      <c r="E124" s="219">
        <v>0</v>
      </c>
      <c r="F124" s="219">
        <v>1</v>
      </c>
      <c r="G124" s="219" t="s">
        <v>781</v>
      </c>
      <c r="H124" s="220">
        <v>5</v>
      </c>
      <c r="I124" s="598">
        <v>0.28999999999999998</v>
      </c>
      <c r="J124" s="262"/>
      <c r="K124" s="517"/>
      <c r="L124" s="473"/>
      <c r="M124" s="262"/>
    </row>
    <row r="125" spans="1:13" ht="14.5" x14ac:dyDescent="0.35">
      <c r="A125" s="192" t="s">
        <v>24</v>
      </c>
      <c r="B125" s="193">
        <v>45574</v>
      </c>
      <c r="C125" s="221">
        <v>319</v>
      </c>
      <c r="D125" s="222">
        <v>75</v>
      </c>
      <c r="E125" s="223">
        <v>0</v>
      </c>
      <c r="F125" s="223">
        <v>0</v>
      </c>
      <c r="G125" s="223" t="s">
        <v>781</v>
      </c>
      <c r="H125" s="224">
        <v>4</v>
      </c>
      <c r="I125" s="599">
        <v>0.27</v>
      </c>
      <c r="J125" s="262"/>
      <c r="K125" s="517"/>
      <c r="L125" s="473"/>
      <c r="M125" s="262"/>
    </row>
    <row r="126" spans="1:13" ht="14.5" x14ac:dyDescent="0.35">
      <c r="A126" s="192" t="s">
        <v>10</v>
      </c>
      <c r="B126" s="193">
        <v>45575</v>
      </c>
      <c r="C126" s="225">
        <v>786</v>
      </c>
      <c r="D126" s="226">
        <v>25</v>
      </c>
      <c r="E126" s="227">
        <v>0</v>
      </c>
      <c r="F126" s="227">
        <v>0</v>
      </c>
      <c r="G126" s="227" t="s">
        <v>781</v>
      </c>
      <c r="H126" s="228">
        <v>9</v>
      </c>
      <c r="I126" s="600">
        <v>0.27</v>
      </c>
      <c r="J126" s="262"/>
      <c r="K126" s="517"/>
      <c r="L126" s="473"/>
      <c r="M126" s="262"/>
    </row>
    <row r="127" spans="1:13" ht="14.5" x14ac:dyDescent="0.35">
      <c r="A127" s="192" t="s">
        <v>13</v>
      </c>
      <c r="B127" s="193">
        <v>45576</v>
      </c>
      <c r="C127" s="229">
        <v>943</v>
      </c>
      <c r="D127" s="230">
        <v>30</v>
      </c>
      <c r="E127" s="231">
        <v>0</v>
      </c>
      <c r="F127" s="231">
        <v>2</v>
      </c>
      <c r="G127" s="231" t="s">
        <v>782</v>
      </c>
      <c r="H127" s="232">
        <v>9</v>
      </c>
      <c r="I127" s="601">
        <v>0.28999999999999998</v>
      </c>
      <c r="J127" s="262"/>
      <c r="K127" s="517"/>
      <c r="L127" s="473"/>
      <c r="M127" s="262"/>
    </row>
    <row r="128" spans="1:13" ht="14.5" x14ac:dyDescent="0.35">
      <c r="A128" s="192" t="s">
        <v>16</v>
      </c>
      <c r="B128" s="193">
        <v>45577</v>
      </c>
      <c r="C128" s="225">
        <v>790</v>
      </c>
      <c r="D128" s="226">
        <v>30</v>
      </c>
      <c r="E128" s="227">
        <v>0</v>
      </c>
      <c r="F128" s="227">
        <v>0</v>
      </c>
      <c r="G128" s="227" t="s">
        <v>782</v>
      </c>
      <c r="H128" s="228">
        <v>9</v>
      </c>
      <c r="I128" s="600">
        <v>0.28000000000000003</v>
      </c>
      <c r="J128" s="262"/>
      <c r="K128" s="517"/>
      <c r="L128" s="473"/>
      <c r="M128" s="262"/>
    </row>
    <row r="129" spans="1:13" ht="14.5" x14ac:dyDescent="0.35">
      <c r="A129" s="192" t="s">
        <v>18</v>
      </c>
      <c r="B129" s="193">
        <v>45578</v>
      </c>
      <c r="C129" s="233"/>
      <c r="D129" s="234"/>
      <c r="E129" s="235"/>
      <c r="F129" s="235"/>
      <c r="G129" s="235"/>
      <c r="H129" s="236"/>
      <c r="I129" s="602"/>
      <c r="J129" s="262"/>
      <c r="K129" s="517"/>
      <c r="L129" s="473"/>
      <c r="M129" s="262"/>
    </row>
    <row r="130" spans="1:13" ht="14.5" x14ac:dyDescent="0.35">
      <c r="A130" s="192" t="s">
        <v>20</v>
      </c>
      <c r="B130" s="193">
        <v>45579</v>
      </c>
      <c r="C130" s="225">
        <v>2295</v>
      </c>
      <c r="D130" s="226">
        <v>30</v>
      </c>
      <c r="E130" s="227">
        <v>0</v>
      </c>
      <c r="F130" s="227">
        <v>0</v>
      </c>
      <c r="G130" s="227" t="s">
        <v>783</v>
      </c>
      <c r="H130" s="228">
        <v>11</v>
      </c>
      <c r="I130" s="600">
        <v>0.26</v>
      </c>
      <c r="J130" s="262"/>
      <c r="K130" s="517"/>
      <c r="L130" s="473"/>
      <c r="M130" s="262"/>
    </row>
    <row r="131" spans="1:13" ht="14.5" x14ac:dyDescent="0.35">
      <c r="A131" s="192" t="s">
        <v>22</v>
      </c>
      <c r="B131" s="193">
        <v>45580</v>
      </c>
      <c r="C131" s="233">
        <v>2826</v>
      </c>
      <c r="D131" s="195">
        <v>0</v>
      </c>
      <c r="E131" s="215">
        <v>0</v>
      </c>
      <c r="F131" s="215">
        <v>7</v>
      </c>
      <c r="G131" s="215" t="s">
        <v>784</v>
      </c>
      <c r="H131" s="216">
        <v>22</v>
      </c>
      <c r="I131" s="594">
        <v>0.27</v>
      </c>
      <c r="J131" s="262"/>
      <c r="K131" s="262"/>
      <c r="L131" s="262"/>
      <c r="M131" s="262"/>
    </row>
    <row r="132" spans="1:13" ht="14.5" x14ac:dyDescent="0.35">
      <c r="A132" s="192" t="s">
        <v>24</v>
      </c>
      <c r="B132" s="193">
        <v>45581</v>
      </c>
      <c r="C132" s="209">
        <v>1337</v>
      </c>
      <c r="D132" s="213">
        <v>0</v>
      </c>
      <c r="E132" s="203">
        <v>1</v>
      </c>
      <c r="F132" s="203">
        <v>0</v>
      </c>
      <c r="G132" s="203" t="s">
        <v>776</v>
      </c>
      <c r="H132" s="204">
        <v>5</v>
      </c>
      <c r="I132" s="597">
        <v>0.26</v>
      </c>
      <c r="J132" s="262"/>
      <c r="K132" s="262"/>
      <c r="L132" s="262"/>
      <c r="M132" s="262"/>
    </row>
    <row r="133" spans="1:13" ht="14.5" x14ac:dyDescent="0.35">
      <c r="A133" s="192" t="s">
        <v>10</v>
      </c>
      <c r="B133" s="193">
        <v>45582</v>
      </c>
      <c r="C133" s="233">
        <v>539</v>
      </c>
      <c r="D133" s="234">
        <v>0</v>
      </c>
      <c r="E133" s="215">
        <v>0</v>
      </c>
      <c r="F133" s="215">
        <v>0</v>
      </c>
      <c r="G133" s="235" t="s">
        <v>784</v>
      </c>
      <c r="H133" s="216">
        <v>6</v>
      </c>
      <c r="I133" s="594">
        <v>0.28999999999999998</v>
      </c>
      <c r="J133" s="262"/>
      <c r="K133" s="262"/>
      <c r="L133" s="262"/>
      <c r="M133" s="262"/>
    </row>
    <row r="134" spans="1:13" ht="14.5" x14ac:dyDescent="0.35">
      <c r="A134" s="192" t="s">
        <v>13</v>
      </c>
      <c r="B134" s="193">
        <v>45583</v>
      </c>
      <c r="C134" s="237">
        <v>1276</v>
      </c>
      <c r="D134" s="270">
        <v>0</v>
      </c>
      <c r="E134" s="239">
        <v>0</v>
      </c>
      <c r="F134" s="239">
        <v>2</v>
      </c>
      <c r="G134" s="239" t="s">
        <v>785</v>
      </c>
      <c r="H134" s="240">
        <v>7</v>
      </c>
      <c r="I134" s="603">
        <v>0.28000000000000003</v>
      </c>
      <c r="J134" s="262"/>
      <c r="K134" s="262"/>
      <c r="L134" s="262"/>
      <c r="M134" s="262"/>
    </row>
    <row r="135" spans="1:13" ht="14.5" x14ac:dyDescent="0.35">
      <c r="A135" s="192" t="s">
        <v>16</v>
      </c>
      <c r="B135" s="193">
        <v>45584</v>
      </c>
      <c r="C135" s="214">
        <v>1499</v>
      </c>
      <c r="D135" s="195">
        <v>124</v>
      </c>
      <c r="E135" s="215">
        <v>0</v>
      </c>
      <c r="F135" s="215">
        <v>0</v>
      </c>
      <c r="G135" s="215" t="s">
        <v>778</v>
      </c>
      <c r="H135" s="216">
        <v>9</v>
      </c>
      <c r="I135" s="594">
        <v>0.28999999999999998</v>
      </c>
      <c r="J135" s="262"/>
      <c r="K135" s="262"/>
      <c r="L135" s="262"/>
      <c r="M135" s="262"/>
    </row>
    <row r="136" spans="1:13" ht="14.5" x14ac:dyDescent="0.35">
      <c r="A136" s="192" t="s">
        <v>18</v>
      </c>
      <c r="B136" s="193">
        <v>45585</v>
      </c>
      <c r="C136" s="237"/>
      <c r="D136" s="238"/>
      <c r="E136" s="239"/>
      <c r="F136" s="239"/>
      <c r="G136" s="239"/>
      <c r="H136" s="240"/>
      <c r="I136" s="603"/>
      <c r="J136" s="262"/>
      <c r="K136" s="262"/>
      <c r="L136" s="262"/>
      <c r="M136" s="262"/>
    </row>
    <row r="137" spans="1:13" ht="14.5" x14ac:dyDescent="0.35">
      <c r="A137" s="192" t="s">
        <v>20</v>
      </c>
      <c r="B137" s="193">
        <v>45586</v>
      </c>
      <c r="C137" s="205">
        <v>2413</v>
      </c>
      <c r="D137" s="206">
        <v>120</v>
      </c>
      <c r="E137" s="207">
        <v>0</v>
      </c>
      <c r="F137" s="207">
        <v>2</v>
      </c>
      <c r="G137" s="207" t="s">
        <v>786</v>
      </c>
      <c r="H137" s="208">
        <v>15</v>
      </c>
      <c r="I137" s="589">
        <v>0.28000000000000003</v>
      </c>
      <c r="J137" s="262"/>
      <c r="K137" s="262"/>
      <c r="L137" s="262"/>
      <c r="M137" s="262"/>
    </row>
    <row r="138" spans="1:13" ht="14.5" x14ac:dyDescent="0.35">
      <c r="A138" s="192" t="s">
        <v>22</v>
      </c>
      <c r="B138" s="193">
        <v>45587</v>
      </c>
      <c r="C138" s="209">
        <v>1161</v>
      </c>
      <c r="D138" s="210">
        <v>30</v>
      </c>
      <c r="E138" s="211">
        <v>0</v>
      </c>
      <c r="F138" s="211">
        <v>0</v>
      </c>
      <c r="G138" s="211" t="s">
        <v>787</v>
      </c>
      <c r="H138" s="241">
        <v>10</v>
      </c>
      <c r="I138" s="590">
        <v>0.26</v>
      </c>
      <c r="J138" s="262"/>
      <c r="K138" s="262"/>
      <c r="L138" s="262"/>
      <c r="M138" s="262"/>
    </row>
    <row r="139" spans="1:13" ht="14.5" x14ac:dyDescent="0.35">
      <c r="A139" s="192" t="s">
        <v>24</v>
      </c>
      <c r="B139" s="193">
        <v>45588</v>
      </c>
      <c r="C139" s="233">
        <v>1674</v>
      </c>
      <c r="D139" s="234">
        <v>0</v>
      </c>
      <c r="E139" s="235">
        <v>0</v>
      </c>
      <c r="F139" s="235">
        <v>1</v>
      </c>
      <c r="G139" s="235" t="s">
        <v>788</v>
      </c>
      <c r="H139" s="236">
        <v>8</v>
      </c>
      <c r="I139" s="602">
        <v>0.28999999999999998</v>
      </c>
      <c r="J139" s="262"/>
      <c r="K139" s="262"/>
      <c r="L139" s="262"/>
      <c r="M139" s="262"/>
    </row>
    <row r="140" spans="1:13" ht="14.5" x14ac:dyDescent="0.35">
      <c r="A140" s="192" t="s">
        <v>10</v>
      </c>
      <c r="B140" s="193">
        <v>45589</v>
      </c>
      <c r="C140" s="237">
        <v>1488</v>
      </c>
      <c r="D140" s="238">
        <v>30</v>
      </c>
      <c r="E140" s="239">
        <v>0</v>
      </c>
      <c r="F140" s="239">
        <v>0</v>
      </c>
      <c r="G140" s="239" t="s">
        <v>789</v>
      </c>
      <c r="H140" s="240">
        <v>9</v>
      </c>
      <c r="I140" s="603">
        <v>0.28999999999999998</v>
      </c>
      <c r="J140" s="262"/>
      <c r="K140" s="262"/>
      <c r="L140" s="262"/>
      <c r="M140" s="262"/>
    </row>
    <row r="141" spans="1:13" ht="14.5" x14ac:dyDescent="0.35">
      <c r="A141" s="192" t="s">
        <v>13</v>
      </c>
      <c r="B141" s="193">
        <v>45590</v>
      </c>
      <c r="C141" s="233">
        <v>1105</v>
      </c>
      <c r="D141" s="234">
        <v>50</v>
      </c>
      <c r="E141" s="235">
        <v>0</v>
      </c>
      <c r="F141" s="235">
        <v>1</v>
      </c>
      <c r="G141" s="235" t="s">
        <v>790</v>
      </c>
      <c r="H141" s="236">
        <v>7</v>
      </c>
      <c r="I141" s="602">
        <v>0.27</v>
      </c>
      <c r="J141" s="262"/>
      <c r="K141" s="262"/>
      <c r="L141" s="262"/>
      <c r="M141" s="262"/>
    </row>
    <row r="142" spans="1:13" ht="14.5" x14ac:dyDescent="0.35">
      <c r="A142" s="192" t="s">
        <v>16</v>
      </c>
      <c r="B142" s="193">
        <v>45591</v>
      </c>
      <c r="C142" s="209">
        <v>1209</v>
      </c>
      <c r="D142" s="210">
        <v>60</v>
      </c>
      <c r="E142" s="211">
        <v>0</v>
      </c>
      <c r="F142" s="211">
        <v>1</v>
      </c>
      <c r="G142" s="211" t="s">
        <v>778</v>
      </c>
      <c r="H142" s="241">
        <v>9</v>
      </c>
      <c r="I142" s="590">
        <v>0.28000000000000003</v>
      </c>
      <c r="J142" s="262"/>
      <c r="K142" s="262"/>
      <c r="L142" s="262"/>
      <c r="M142" s="262"/>
    </row>
    <row r="143" spans="1:13" ht="14.5" x14ac:dyDescent="0.35">
      <c r="A143" s="192" t="s">
        <v>18</v>
      </c>
      <c r="B143" s="193">
        <v>45592</v>
      </c>
      <c r="C143" s="214"/>
      <c r="D143" s="195"/>
      <c r="E143" s="215"/>
      <c r="F143" s="215"/>
      <c r="G143" s="215"/>
      <c r="H143" s="271"/>
      <c r="I143" s="607"/>
      <c r="J143" s="262"/>
      <c r="K143" s="262"/>
      <c r="L143" s="262"/>
      <c r="M143" s="262"/>
    </row>
    <row r="144" spans="1:13" ht="14.5" x14ac:dyDescent="0.35">
      <c r="A144" s="192" t="s">
        <v>20</v>
      </c>
      <c r="B144" s="193">
        <v>45593</v>
      </c>
      <c r="C144" s="212">
        <v>3390</v>
      </c>
      <c r="D144" s="213">
        <v>120</v>
      </c>
      <c r="E144" s="203">
        <v>0</v>
      </c>
      <c r="F144" s="203">
        <v>8</v>
      </c>
      <c r="G144" s="215" t="s">
        <v>791</v>
      </c>
      <c r="H144" s="204">
        <v>23</v>
      </c>
      <c r="I144" s="597">
        <v>0.28999999999999998</v>
      </c>
      <c r="J144" s="262"/>
      <c r="K144" s="262"/>
      <c r="L144" s="262"/>
      <c r="M144" s="262"/>
    </row>
    <row r="145" spans="1:13" ht="14.5" x14ac:dyDescent="0.35">
      <c r="A145" s="192" t="s">
        <v>22</v>
      </c>
      <c r="B145" s="193">
        <v>45594</v>
      </c>
      <c r="C145" s="233">
        <v>2753</v>
      </c>
      <c r="D145" s="195">
        <v>120</v>
      </c>
      <c r="E145" s="215">
        <v>0</v>
      </c>
      <c r="F145" s="247">
        <v>7</v>
      </c>
      <c r="G145" s="262" t="s">
        <v>413</v>
      </c>
      <c r="H145" s="216">
        <v>16</v>
      </c>
      <c r="I145" s="594">
        <v>0.28000000000000003</v>
      </c>
      <c r="J145" s="262"/>
      <c r="K145" s="262"/>
      <c r="L145" s="262"/>
      <c r="M145" s="262"/>
    </row>
    <row r="146" spans="1:13" ht="14.5" x14ac:dyDescent="0.35">
      <c r="A146" s="192" t="s">
        <v>24</v>
      </c>
      <c r="B146" s="193">
        <v>45595</v>
      </c>
      <c r="C146" s="212">
        <v>1409</v>
      </c>
      <c r="D146" s="213">
        <v>0</v>
      </c>
      <c r="E146" s="203">
        <v>0</v>
      </c>
      <c r="F146" s="203">
        <v>0</v>
      </c>
      <c r="G146" s="203" t="s">
        <v>792</v>
      </c>
      <c r="H146" s="204">
        <v>11</v>
      </c>
      <c r="I146" s="597">
        <v>0.28000000000000003</v>
      </c>
      <c r="J146" s="262"/>
      <c r="K146" s="262"/>
      <c r="L146" s="262"/>
      <c r="M146" s="262"/>
    </row>
    <row r="147" spans="1:13" thickBot="1" x14ac:dyDescent="0.4">
      <c r="A147" s="192" t="s">
        <v>10</v>
      </c>
      <c r="B147" s="193">
        <v>45596</v>
      </c>
      <c r="C147" s="264">
        <v>1045</v>
      </c>
      <c r="D147" s="265">
        <v>0</v>
      </c>
      <c r="E147" s="266">
        <v>0</v>
      </c>
      <c r="F147" s="266">
        <v>0</v>
      </c>
      <c r="G147" s="266" t="s">
        <v>404</v>
      </c>
      <c r="H147" s="267">
        <v>8</v>
      </c>
      <c r="I147" s="608">
        <v>0.28000000000000003</v>
      </c>
      <c r="J147" s="262"/>
      <c r="K147" s="262"/>
      <c r="L147" s="262"/>
      <c r="M147" s="262"/>
    </row>
    <row r="148" spans="1:13" thickBot="1" x14ac:dyDescent="0.4">
      <c r="A148" s="257"/>
      <c r="B148" s="268"/>
      <c r="C148" s="258">
        <f>SUM(C117:C147)</f>
        <v>38381</v>
      </c>
      <c r="D148" s="259">
        <f>SUM(D117:D147)</f>
        <v>1214</v>
      </c>
      <c r="E148" s="260">
        <f>SUM(E117:E147)</f>
        <v>1</v>
      </c>
      <c r="F148" s="260">
        <f>SUM(F117:F147)</f>
        <v>34</v>
      </c>
      <c r="G148" s="261"/>
      <c r="H148" s="261">
        <f>SUM(H117:H147)</f>
        <v>255</v>
      </c>
      <c r="I148" s="261"/>
      <c r="J148" s="262"/>
      <c r="K148" s="262"/>
      <c r="L148" s="262"/>
      <c r="M148" s="262"/>
    </row>
    <row r="149" spans="1:13" ht="14.5" x14ac:dyDescent="0.35">
      <c r="A149" s="262"/>
      <c r="B149" s="474"/>
      <c r="C149" s="475"/>
      <c r="D149" s="475"/>
      <c r="E149" s="476"/>
      <c r="F149" s="476"/>
      <c r="G149" s="477"/>
      <c r="H149" s="477"/>
      <c r="I149" s="262"/>
      <c r="J149" s="262"/>
      <c r="K149" s="262"/>
      <c r="L149" s="262"/>
      <c r="M149" s="262"/>
    </row>
    <row r="150" spans="1:13" ht="14.5" x14ac:dyDescent="0.35">
      <c r="A150" s="262"/>
      <c r="B150" s="474"/>
      <c r="C150" s="475"/>
      <c r="D150" s="475"/>
      <c r="E150" s="476"/>
      <c r="F150" s="476"/>
      <c r="G150" s="477"/>
      <c r="H150" s="477"/>
      <c r="I150" s="262"/>
      <c r="J150" s="262"/>
      <c r="K150" s="262"/>
      <c r="L150" s="262"/>
      <c r="M150" s="262"/>
    </row>
    <row r="151" spans="1:13" thickBot="1" x14ac:dyDescent="0.4">
      <c r="A151" s="262"/>
      <c r="B151" s="474"/>
      <c r="C151" s="475"/>
      <c r="D151" s="475"/>
      <c r="E151" s="476"/>
      <c r="F151" s="476"/>
      <c r="G151" s="477"/>
      <c r="H151" s="477"/>
      <c r="I151" s="262"/>
      <c r="J151" s="262"/>
      <c r="K151" s="262"/>
      <c r="L151" s="262"/>
      <c r="M151" s="262"/>
    </row>
    <row r="152" spans="1:13" ht="14.5" x14ac:dyDescent="0.35">
      <c r="A152" s="924" t="s">
        <v>85</v>
      </c>
      <c r="B152" s="938"/>
      <c r="C152" s="933" t="s">
        <v>1</v>
      </c>
      <c r="D152" s="944"/>
      <c r="E152" s="945"/>
      <c r="F152" s="262"/>
      <c r="G152" s="262"/>
      <c r="H152" s="262"/>
      <c r="I152" s="262"/>
      <c r="J152" s="262"/>
      <c r="K152" s="262"/>
      <c r="L152" s="262"/>
      <c r="M152" s="262"/>
    </row>
    <row r="153" spans="1:13" thickBot="1" x14ac:dyDescent="0.4">
      <c r="A153" s="939"/>
      <c r="B153" s="940"/>
      <c r="C153" s="946"/>
      <c r="D153" s="947"/>
      <c r="E153" s="947"/>
      <c r="F153" s="593"/>
      <c r="G153" s="262"/>
      <c r="H153" s="262"/>
      <c r="I153" s="262"/>
      <c r="J153" s="262"/>
      <c r="K153" s="262"/>
      <c r="L153" s="262"/>
      <c r="M153" s="262"/>
    </row>
    <row r="154" spans="1:13" ht="14.5" customHeight="1" x14ac:dyDescent="0.4">
      <c r="A154" s="939"/>
      <c r="B154" s="941"/>
      <c r="C154" s="921" t="s">
        <v>88</v>
      </c>
      <c r="D154" s="272" t="s">
        <v>89</v>
      </c>
      <c r="E154" s="273" t="s">
        <v>90</v>
      </c>
      <c r="F154" s="274" t="s">
        <v>91</v>
      </c>
      <c r="G154" s="262"/>
      <c r="H154" s="262"/>
      <c r="I154" s="262"/>
      <c r="J154" s="262"/>
      <c r="K154" s="262"/>
      <c r="L154" s="262"/>
      <c r="M154" s="262"/>
    </row>
    <row r="155" spans="1:13" ht="15" customHeight="1" x14ac:dyDescent="0.35">
      <c r="A155" s="942"/>
      <c r="B155" s="943"/>
      <c r="C155" s="948"/>
      <c r="D155" s="275" t="s">
        <v>7</v>
      </c>
      <c r="E155" s="276" t="s">
        <v>0</v>
      </c>
      <c r="F155" s="277" t="s">
        <v>0</v>
      </c>
      <c r="G155" s="262"/>
      <c r="H155" s="262"/>
      <c r="I155" s="262"/>
      <c r="J155" s="262"/>
      <c r="K155" s="262"/>
      <c r="L155" s="262"/>
      <c r="M155" s="262"/>
    </row>
    <row r="156" spans="1:13" ht="16" customHeight="1" x14ac:dyDescent="0.35">
      <c r="A156" s="192" t="s">
        <v>22</v>
      </c>
      <c r="B156" s="193">
        <v>45566</v>
      </c>
      <c r="C156" s="285">
        <v>4008</v>
      </c>
      <c r="D156" s="262">
        <v>30</v>
      </c>
      <c r="E156" s="216">
        <v>0</v>
      </c>
      <c r="F156" s="216">
        <v>0</v>
      </c>
      <c r="G156" s="262"/>
      <c r="H156" s="262"/>
      <c r="I156" s="262"/>
      <c r="J156" s="262"/>
      <c r="K156" s="262"/>
      <c r="L156" s="262"/>
      <c r="M156" s="262"/>
    </row>
    <row r="157" spans="1:13" ht="14.5" customHeight="1" x14ac:dyDescent="0.35">
      <c r="A157" s="192" t="s">
        <v>24</v>
      </c>
      <c r="B157" s="193">
        <v>45567</v>
      </c>
      <c r="C157" s="280">
        <v>1956</v>
      </c>
      <c r="D157" s="197">
        <v>20</v>
      </c>
      <c r="E157" s="208">
        <v>0</v>
      </c>
      <c r="F157" s="208">
        <v>0</v>
      </c>
      <c r="G157" s="262"/>
      <c r="H157" s="262"/>
      <c r="I157" s="262"/>
      <c r="J157" s="262"/>
      <c r="K157" s="262"/>
      <c r="L157" s="262"/>
      <c r="M157" s="262"/>
    </row>
    <row r="158" spans="1:13" ht="14.5" x14ac:dyDescent="0.35">
      <c r="A158" s="192" t="s">
        <v>10</v>
      </c>
      <c r="B158" s="193">
        <v>45568</v>
      </c>
      <c r="C158" s="479">
        <v>6108</v>
      </c>
      <c r="D158" s="262">
        <v>20</v>
      </c>
      <c r="E158" s="236">
        <v>0</v>
      </c>
      <c r="F158" s="236">
        <v>0</v>
      </c>
      <c r="G158" s="262"/>
      <c r="H158" s="262"/>
      <c r="I158" s="262"/>
      <c r="J158" s="262"/>
      <c r="K158" s="262"/>
      <c r="L158" s="262"/>
      <c r="M158" s="262"/>
    </row>
    <row r="159" spans="1:13" ht="14.5" x14ac:dyDescent="0.35">
      <c r="A159" s="192" t="s">
        <v>13</v>
      </c>
      <c r="B159" s="193">
        <v>45569</v>
      </c>
      <c r="C159" s="280">
        <v>2214</v>
      </c>
      <c r="D159" s="197">
        <v>18</v>
      </c>
      <c r="E159" s="208">
        <v>0</v>
      </c>
      <c r="F159" s="208">
        <v>3</v>
      </c>
      <c r="G159" s="262"/>
      <c r="H159" s="262"/>
      <c r="I159" s="262"/>
      <c r="J159" s="262"/>
      <c r="K159" s="262"/>
      <c r="L159" s="262"/>
      <c r="M159" s="262"/>
    </row>
    <row r="160" spans="1:13" ht="14.5" x14ac:dyDescent="0.35">
      <c r="A160" s="192" t="s">
        <v>16</v>
      </c>
      <c r="B160" s="193">
        <v>45570</v>
      </c>
      <c r="C160" s="283">
        <v>300</v>
      </c>
      <c r="D160" s="262">
        <v>10</v>
      </c>
      <c r="E160" s="216">
        <v>0</v>
      </c>
      <c r="F160" s="216">
        <v>0</v>
      </c>
      <c r="G160" s="262"/>
      <c r="H160" s="262"/>
      <c r="I160" s="262"/>
      <c r="J160" s="262"/>
      <c r="K160" s="262"/>
      <c r="L160" s="262"/>
      <c r="M160" s="262"/>
    </row>
    <row r="161" spans="1:13" ht="14.5" x14ac:dyDescent="0.35">
      <c r="A161" s="192" t="s">
        <v>18</v>
      </c>
      <c r="B161" s="193">
        <v>45571</v>
      </c>
      <c r="C161" s="283"/>
      <c r="D161" s="197"/>
      <c r="E161" s="216"/>
      <c r="F161" s="216"/>
      <c r="G161" s="262"/>
      <c r="H161" s="262"/>
      <c r="I161" s="262"/>
      <c r="J161" s="262"/>
      <c r="K161" s="262"/>
      <c r="L161" s="262"/>
      <c r="M161" s="262"/>
    </row>
    <row r="162" spans="1:13" ht="14.5" x14ac:dyDescent="0.35">
      <c r="A162" s="192" t="s">
        <v>20</v>
      </c>
      <c r="B162" s="193">
        <v>45572</v>
      </c>
      <c r="C162" s="480">
        <v>1505</v>
      </c>
      <c r="D162" s="262">
        <v>10</v>
      </c>
      <c r="E162" s="232">
        <v>0</v>
      </c>
      <c r="F162" s="232">
        <v>0</v>
      </c>
      <c r="G162" s="262"/>
      <c r="H162" s="262"/>
      <c r="I162" s="262"/>
      <c r="J162" s="262"/>
      <c r="K162" s="262"/>
      <c r="L162" s="262"/>
      <c r="M162" s="262"/>
    </row>
    <row r="163" spans="1:13" ht="14.5" x14ac:dyDescent="0.35">
      <c r="A163" s="192" t="s">
        <v>22</v>
      </c>
      <c r="B163" s="193">
        <v>45573</v>
      </c>
      <c r="C163" s="285">
        <v>2574</v>
      </c>
      <c r="D163" s="197">
        <v>24</v>
      </c>
      <c r="E163" s="224">
        <v>2</v>
      </c>
      <c r="F163" s="224">
        <v>0</v>
      </c>
      <c r="G163" s="262"/>
      <c r="H163" s="262"/>
      <c r="I163" s="262"/>
      <c r="J163" s="262"/>
      <c r="K163" s="262"/>
      <c r="L163" s="262"/>
      <c r="M163" s="262"/>
    </row>
    <row r="164" spans="1:13" ht="14.5" x14ac:dyDescent="0.35">
      <c r="A164" s="192" t="s">
        <v>24</v>
      </c>
      <c r="B164" s="193">
        <v>45574</v>
      </c>
      <c r="C164" s="285">
        <v>2286</v>
      </c>
      <c r="D164" s="262">
        <v>16</v>
      </c>
      <c r="E164" s="224">
        <v>0</v>
      </c>
      <c r="F164" s="224">
        <v>0</v>
      </c>
      <c r="G164" s="262"/>
      <c r="H164" s="262"/>
      <c r="I164" s="262"/>
      <c r="J164" s="262"/>
      <c r="K164" s="262"/>
      <c r="L164" s="262"/>
      <c r="M164" s="262"/>
    </row>
    <row r="165" spans="1:13" ht="14.5" x14ac:dyDescent="0.35">
      <c r="A165" s="192" t="s">
        <v>10</v>
      </c>
      <c r="B165" s="193">
        <v>45575</v>
      </c>
      <c r="C165" s="285">
        <v>3067</v>
      </c>
      <c r="D165" s="197">
        <v>10</v>
      </c>
      <c r="E165" s="232">
        <v>0</v>
      </c>
      <c r="F165" s="232">
        <v>1</v>
      </c>
      <c r="G165" s="262"/>
      <c r="H165" s="262"/>
      <c r="I165" s="262"/>
      <c r="J165" s="262"/>
      <c r="K165" s="262"/>
      <c r="L165" s="262"/>
      <c r="M165" s="262"/>
    </row>
    <row r="166" spans="1:13" ht="14.5" x14ac:dyDescent="0.35">
      <c r="A166" s="192" t="s">
        <v>13</v>
      </c>
      <c r="B166" s="193">
        <v>45576</v>
      </c>
      <c r="C166" s="285">
        <v>205</v>
      </c>
      <c r="D166" s="262">
        <v>9</v>
      </c>
      <c r="E166" s="224">
        <v>0</v>
      </c>
      <c r="F166" s="224">
        <v>1</v>
      </c>
      <c r="G166" s="262"/>
      <c r="H166" s="262"/>
      <c r="I166" s="262"/>
      <c r="J166" s="262"/>
      <c r="K166" s="262"/>
      <c r="L166" s="262"/>
      <c r="M166" s="262"/>
    </row>
    <row r="167" spans="1:13" ht="14.5" customHeight="1" x14ac:dyDescent="0.35">
      <c r="A167" s="192" t="s">
        <v>16</v>
      </c>
      <c r="B167" s="193">
        <v>45577</v>
      </c>
      <c r="C167" s="285">
        <v>460</v>
      </c>
      <c r="D167" s="197">
        <v>8</v>
      </c>
      <c r="E167" s="236">
        <v>0</v>
      </c>
      <c r="F167" s="236">
        <v>1</v>
      </c>
      <c r="G167" s="262"/>
      <c r="H167" s="262"/>
      <c r="I167" s="262"/>
      <c r="J167" s="262"/>
      <c r="K167" s="262"/>
      <c r="L167" s="262"/>
      <c r="M167" s="262"/>
    </row>
    <row r="168" spans="1:13" ht="15" customHeight="1" x14ac:dyDescent="0.35">
      <c r="A168" s="192" t="s">
        <v>18</v>
      </c>
      <c r="B168" s="193">
        <v>45578</v>
      </c>
      <c r="C168" s="285"/>
      <c r="D168" s="262"/>
      <c r="E168" s="224"/>
      <c r="F168" s="224"/>
      <c r="G168" s="262"/>
      <c r="H168" s="262"/>
      <c r="I168" s="262"/>
      <c r="J168" s="262"/>
      <c r="K168" s="262"/>
      <c r="L168" s="262"/>
      <c r="M168" s="262"/>
    </row>
    <row r="169" spans="1:13" ht="16" customHeight="1" x14ac:dyDescent="0.35">
      <c r="A169" s="192" t="s">
        <v>20</v>
      </c>
      <c r="B169" s="193">
        <v>45579</v>
      </c>
      <c r="C169" s="285">
        <v>4999</v>
      </c>
      <c r="D169" s="197">
        <v>8</v>
      </c>
      <c r="E169" s="236">
        <v>0</v>
      </c>
      <c r="F169" s="236">
        <v>0</v>
      </c>
      <c r="G169" s="262"/>
      <c r="H169" s="262"/>
      <c r="I169" s="262"/>
      <c r="J169" s="262"/>
      <c r="K169" s="262"/>
      <c r="L169" s="262"/>
      <c r="M169" s="262"/>
    </row>
    <row r="170" spans="1:13" ht="14.5" customHeight="1" x14ac:dyDescent="0.35">
      <c r="A170" s="192" t="s">
        <v>22</v>
      </c>
      <c r="B170" s="193">
        <v>45580</v>
      </c>
      <c r="C170" s="285">
        <v>823</v>
      </c>
      <c r="D170" s="262">
        <v>8</v>
      </c>
      <c r="E170" s="216">
        <v>0</v>
      </c>
      <c r="F170" s="216">
        <v>0</v>
      </c>
      <c r="G170" s="262"/>
      <c r="H170" s="262"/>
      <c r="I170" s="262"/>
      <c r="J170" s="262"/>
      <c r="K170" s="262"/>
      <c r="L170" s="262"/>
      <c r="M170" s="262"/>
    </row>
    <row r="171" spans="1:13" ht="14.5" x14ac:dyDescent="0.35">
      <c r="A171" s="192" t="s">
        <v>24</v>
      </c>
      <c r="B171" s="193">
        <v>45581</v>
      </c>
      <c r="C171" s="285">
        <v>2471</v>
      </c>
      <c r="D171" s="286">
        <v>11</v>
      </c>
      <c r="E171" s="236">
        <v>0</v>
      </c>
      <c r="F171" s="236">
        <v>0</v>
      </c>
      <c r="G171" s="262"/>
      <c r="H171" s="262"/>
      <c r="I171" s="262"/>
      <c r="J171" s="262"/>
      <c r="K171" s="262"/>
      <c r="L171" s="262"/>
      <c r="M171" s="262"/>
    </row>
    <row r="172" spans="1:13" ht="14.5" x14ac:dyDescent="0.35">
      <c r="A172" s="192" t="s">
        <v>10</v>
      </c>
      <c r="B172" s="193">
        <v>45582</v>
      </c>
      <c r="C172" s="285">
        <v>766</v>
      </c>
      <c r="D172" s="481">
        <v>11</v>
      </c>
      <c r="E172" s="208">
        <v>0</v>
      </c>
      <c r="F172" s="208">
        <v>1</v>
      </c>
      <c r="G172" s="262"/>
      <c r="H172" s="262"/>
      <c r="I172" s="262"/>
      <c r="J172" s="262"/>
      <c r="K172" s="262"/>
      <c r="L172" s="262"/>
      <c r="M172" s="262"/>
    </row>
    <row r="173" spans="1:13" ht="14.5" x14ac:dyDescent="0.35">
      <c r="A173" s="192" t="s">
        <v>13</v>
      </c>
      <c r="B173" s="193">
        <v>45583</v>
      </c>
      <c r="C173" s="285">
        <v>1714</v>
      </c>
      <c r="D173" s="288">
        <v>14</v>
      </c>
      <c r="E173" s="216">
        <v>0</v>
      </c>
      <c r="F173" s="216">
        <v>4</v>
      </c>
      <c r="G173" s="262"/>
      <c r="H173" s="262"/>
      <c r="I173" s="262"/>
      <c r="J173" s="262"/>
      <c r="K173" s="262"/>
      <c r="L173" s="262"/>
      <c r="M173" s="262"/>
    </row>
    <row r="174" spans="1:13" ht="15.65" customHeight="1" x14ac:dyDescent="0.35">
      <c r="A174" s="192" t="s">
        <v>16</v>
      </c>
      <c r="B174" s="193">
        <v>45584</v>
      </c>
      <c r="C174" s="285">
        <v>350</v>
      </c>
      <c r="D174" s="481">
        <v>8</v>
      </c>
      <c r="E174" s="208">
        <v>0</v>
      </c>
      <c r="F174" s="208">
        <v>0</v>
      </c>
      <c r="G174" s="262"/>
      <c r="H174" s="262"/>
      <c r="I174" s="262"/>
      <c r="J174" s="262"/>
      <c r="K174" s="262"/>
      <c r="L174" s="262"/>
      <c r="M174" s="262"/>
    </row>
    <row r="175" spans="1:13" ht="14.5" x14ac:dyDescent="0.35">
      <c r="A175" s="192" t="s">
        <v>18</v>
      </c>
      <c r="B175" s="193">
        <v>45585</v>
      </c>
      <c r="C175" s="285"/>
      <c r="D175" s="286"/>
      <c r="E175" s="208"/>
      <c r="F175" s="208"/>
      <c r="G175" s="262"/>
      <c r="H175" s="262"/>
      <c r="I175" s="262"/>
      <c r="J175" s="262"/>
      <c r="K175" s="262"/>
      <c r="L175" s="262"/>
      <c r="M175" s="262"/>
    </row>
    <row r="176" spans="1:13" ht="14.5" x14ac:dyDescent="0.35">
      <c r="A176" s="192" t="s">
        <v>20</v>
      </c>
      <c r="B176" s="193">
        <v>45586</v>
      </c>
      <c r="C176" s="285">
        <v>3278</v>
      </c>
      <c r="D176" s="481">
        <v>8</v>
      </c>
      <c r="E176" s="236">
        <v>0</v>
      </c>
      <c r="F176" s="236">
        <v>1</v>
      </c>
      <c r="G176" s="262"/>
      <c r="H176" s="262"/>
      <c r="I176" s="262"/>
      <c r="J176" s="262"/>
      <c r="K176" s="262"/>
      <c r="L176" s="262"/>
      <c r="M176" s="262"/>
    </row>
    <row r="177" spans="1:15" ht="14.5" x14ac:dyDescent="0.35">
      <c r="A177" s="192" t="s">
        <v>22</v>
      </c>
      <c r="B177" s="193">
        <v>45587</v>
      </c>
      <c r="C177" s="285">
        <v>1752</v>
      </c>
      <c r="D177" s="286">
        <v>9</v>
      </c>
      <c r="E177" s="236">
        <v>0</v>
      </c>
      <c r="F177" s="236">
        <v>0</v>
      </c>
      <c r="G177" s="262"/>
      <c r="H177" s="262"/>
      <c r="I177" s="262"/>
      <c r="J177" s="262"/>
      <c r="K177" s="262"/>
      <c r="L177" s="262"/>
      <c r="M177" s="262"/>
    </row>
    <row r="178" spans="1:15" ht="14.5" x14ac:dyDescent="0.35">
      <c r="A178" s="192" t="s">
        <v>24</v>
      </c>
      <c r="B178" s="193">
        <v>45588</v>
      </c>
      <c r="C178" s="285">
        <v>1164</v>
      </c>
      <c r="D178" s="481">
        <v>12</v>
      </c>
      <c r="E178" s="208">
        <v>0</v>
      </c>
      <c r="F178" s="208">
        <v>0</v>
      </c>
      <c r="G178" s="262"/>
      <c r="H178" s="262"/>
      <c r="I178" s="262"/>
      <c r="J178" s="262"/>
      <c r="K178" s="262"/>
      <c r="L178" s="262"/>
      <c r="M178" s="262"/>
    </row>
    <row r="179" spans="1:15" ht="14.5" x14ac:dyDescent="0.35">
      <c r="A179" s="192" t="s">
        <v>10</v>
      </c>
      <c r="B179" s="193">
        <v>45589</v>
      </c>
      <c r="C179" s="285">
        <v>802</v>
      </c>
      <c r="D179" s="286">
        <v>10</v>
      </c>
      <c r="E179" s="236">
        <v>0</v>
      </c>
      <c r="F179" s="236">
        <v>1</v>
      </c>
      <c r="G179" s="262"/>
      <c r="H179" s="262"/>
      <c r="I179" s="262"/>
      <c r="J179" s="262"/>
      <c r="K179" s="262"/>
      <c r="L179" s="262"/>
      <c r="M179" s="262"/>
    </row>
    <row r="180" spans="1:15" ht="14.5" x14ac:dyDescent="0.35">
      <c r="A180" s="192" t="s">
        <v>13</v>
      </c>
      <c r="B180" s="193">
        <v>45590</v>
      </c>
      <c r="C180" s="482">
        <v>1842</v>
      </c>
      <c r="D180" s="481">
        <v>10</v>
      </c>
      <c r="E180" s="236">
        <v>0</v>
      </c>
      <c r="F180" s="236">
        <v>2</v>
      </c>
      <c r="G180" s="262"/>
      <c r="H180" s="262"/>
      <c r="I180" s="262"/>
      <c r="J180" s="262"/>
      <c r="K180" s="262"/>
      <c r="L180" s="262"/>
      <c r="M180" s="262"/>
    </row>
    <row r="181" spans="1:15" ht="14.5" x14ac:dyDescent="0.35">
      <c r="A181" s="192" t="s">
        <v>16</v>
      </c>
      <c r="B181" s="193">
        <v>45591</v>
      </c>
      <c r="C181" s="290">
        <v>270</v>
      </c>
      <c r="D181" s="286">
        <v>8</v>
      </c>
      <c r="E181" s="216">
        <v>0</v>
      </c>
      <c r="F181" s="216">
        <v>0</v>
      </c>
      <c r="G181" s="262"/>
      <c r="H181" s="262"/>
      <c r="I181" s="262"/>
      <c r="J181" s="262"/>
      <c r="K181" s="262"/>
      <c r="L181" s="262"/>
      <c r="M181" s="262"/>
    </row>
    <row r="182" spans="1:15" ht="14.5" x14ac:dyDescent="0.35">
      <c r="A182" s="192" t="s">
        <v>18</v>
      </c>
      <c r="B182" s="193">
        <v>45592</v>
      </c>
      <c r="C182" s="290"/>
      <c r="D182" s="481"/>
      <c r="E182" s="216"/>
      <c r="F182" s="216"/>
      <c r="G182" s="262"/>
      <c r="H182" s="262"/>
      <c r="I182" s="262"/>
      <c r="J182" s="262"/>
      <c r="K182" s="262"/>
      <c r="L182" s="262"/>
      <c r="M182" s="262"/>
    </row>
    <row r="183" spans="1:15" ht="14.5" x14ac:dyDescent="0.35">
      <c r="A183" s="192" t="s">
        <v>20</v>
      </c>
      <c r="B183" s="193">
        <v>45593</v>
      </c>
      <c r="C183" s="290">
        <v>758</v>
      </c>
      <c r="D183" s="286">
        <v>8</v>
      </c>
      <c r="E183" s="216">
        <v>0</v>
      </c>
      <c r="F183" s="216">
        <v>0</v>
      </c>
      <c r="G183" s="262"/>
      <c r="H183" s="262"/>
      <c r="I183" s="262"/>
      <c r="J183" s="262"/>
      <c r="K183" s="262"/>
      <c r="L183" s="262"/>
      <c r="M183" s="262"/>
    </row>
    <row r="184" spans="1:15" ht="14.5" x14ac:dyDescent="0.35">
      <c r="A184" s="192" t="s">
        <v>22</v>
      </c>
      <c r="B184" s="193">
        <v>45594</v>
      </c>
      <c r="C184" s="290">
        <v>3773</v>
      </c>
      <c r="D184" s="481">
        <v>12</v>
      </c>
      <c r="E184" s="216">
        <v>0</v>
      </c>
      <c r="F184" s="216">
        <v>1</v>
      </c>
      <c r="G184" s="262"/>
      <c r="H184" s="262"/>
      <c r="I184" s="262"/>
      <c r="J184" s="262"/>
      <c r="K184" s="262"/>
      <c r="L184" s="262"/>
      <c r="M184" s="262"/>
    </row>
    <row r="185" spans="1:15" ht="14.5" x14ac:dyDescent="0.35">
      <c r="A185" s="192" t="s">
        <v>24</v>
      </c>
      <c r="B185" s="193">
        <v>45595</v>
      </c>
      <c r="C185" s="290">
        <v>410</v>
      </c>
      <c r="D185" s="262">
        <v>9</v>
      </c>
      <c r="E185" s="216">
        <v>2</v>
      </c>
      <c r="F185" s="216">
        <v>0</v>
      </c>
      <c r="G185" s="262"/>
      <c r="H185" s="262"/>
      <c r="I185" s="262"/>
      <c r="J185" s="262"/>
      <c r="K185" s="262"/>
      <c r="L185" s="262"/>
      <c r="M185" s="262"/>
    </row>
    <row r="186" spans="1:15" ht="14.5" x14ac:dyDescent="0.35">
      <c r="A186" s="192" t="s">
        <v>10</v>
      </c>
      <c r="B186" s="193">
        <v>45596</v>
      </c>
      <c r="C186" s="479">
        <v>1727</v>
      </c>
      <c r="D186" s="197">
        <v>9</v>
      </c>
      <c r="E186" s="216">
        <v>0</v>
      </c>
      <c r="F186" s="216">
        <v>1</v>
      </c>
      <c r="G186" s="262"/>
      <c r="H186" s="262"/>
      <c r="I186" s="262"/>
      <c r="J186" s="262"/>
      <c r="K186" s="262"/>
      <c r="L186" s="262"/>
      <c r="M186" s="262"/>
    </row>
    <row r="187" spans="1:15" ht="14.5" x14ac:dyDescent="0.35">
      <c r="A187" s="257"/>
      <c r="B187" s="483"/>
      <c r="C187" s="484">
        <f>SUM(C155:C186)</f>
        <v>51582</v>
      </c>
      <c r="D187" s="485">
        <f>SUM(D155:D186)</f>
        <v>330</v>
      </c>
      <c r="E187" s="486">
        <f>SUM(E155:E186)</f>
        <v>4</v>
      </c>
      <c r="F187" s="487">
        <f>SUM(F155:F186)</f>
        <v>17</v>
      </c>
      <c r="G187" s="262"/>
      <c r="H187" s="262"/>
      <c r="I187" s="262"/>
      <c r="J187" s="262"/>
      <c r="K187" s="262"/>
      <c r="L187" s="262"/>
      <c r="M187" s="262"/>
    </row>
    <row r="188" spans="1:15" ht="14.5" x14ac:dyDescent="0.35">
      <c r="A188" s="262"/>
      <c r="B188" s="433"/>
      <c r="C188" s="508"/>
      <c r="D188" s="262"/>
      <c r="E188" s="508"/>
      <c r="F188" s="262"/>
      <c r="G188" s="262"/>
      <c r="H188" s="262"/>
      <c r="I188" s="262"/>
      <c r="J188" s="262"/>
      <c r="K188" s="262"/>
      <c r="L188" s="262"/>
      <c r="M188" s="262"/>
    </row>
    <row r="189" spans="1:15" ht="14.5" x14ac:dyDescent="0.35">
      <c r="A189" s="262"/>
      <c r="B189" s="262"/>
      <c r="C189" s="511"/>
      <c r="D189" s="511"/>
      <c r="E189" s="475"/>
      <c r="F189" s="511"/>
      <c r="G189" s="511"/>
      <c r="H189" s="262"/>
      <c r="I189" s="262"/>
      <c r="J189" s="262"/>
      <c r="K189" s="262"/>
      <c r="L189" s="262"/>
      <c r="M189" s="262"/>
    </row>
    <row r="190" spans="1:15" thickBot="1" x14ac:dyDescent="0.4">
      <c r="A190" s="262"/>
      <c r="D190" s="511"/>
    </row>
    <row r="191" spans="1:15" ht="14.5" x14ac:dyDescent="0.35">
      <c r="A191" s="520"/>
      <c r="B191" s="521" t="s">
        <v>108</v>
      </c>
      <c r="C191" s="757" t="s">
        <v>93</v>
      </c>
      <c r="D191" s="511"/>
      <c r="E191" s="518" t="s">
        <v>111</v>
      </c>
      <c r="F191" s="518" t="s">
        <v>112</v>
      </c>
      <c r="G191" s="518" t="s">
        <v>113</v>
      </c>
      <c r="H191" s="518" t="s">
        <v>114</v>
      </c>
      <c r="I191" s="518" t="s">
        <v>103</v>
      </c>
      <c r="J191" s="518" t="s">
        <v>104</v>
      </c>
      <c r="K191" s="518" t="s">
        <v>105</v>
      </c>
      <c r="L191" s="518" t="s">
        <v>106</v>
      </c>
      <c r="M191" s="521" t="s">
        <v>107</v>
      </c>
      <c r="N191" s="569" t="s">
        <v>98</v>
      </c>
    </row>
    <row r="192" spans="1:15" ht="14.5" x14ac:dyDescent="0.35">
      <c r="A192" s="434" t="s">
        <v>99</v>
      </c>
      <c r="B192" s="469">
        <f>C35/27*27</f>
        <v>64844</v>
      </c>
      <c r="C192" s="758">
        <f>B192-68000</f>
        <v>-3156</v>
      </c>
      <c r="D192" s="567" t="s">
        <v>99</v>
      </c>
      <c r="E192" s="527">
        <v>59678</v>
      </c>
      <c r="F192" s="525">
        <v>65325</v>
      </c>
      <c r="G192" s="526">
        <v>71363</v>
      </c>
      <c r="H192" s="526">
        <v>75374</v>
      </c>
      <c r="I192" s="527">
        <v>72600</v>
      </c>
      <c r="J192" s="574">
        <v>72030</v>
      </c>
      <c r="K192" s="574">
        <v>72545</v>
      </c>
      <c r="L192" s="527">
        <v>75155</v>
      </c>
      <c r="M192" s="585">
        <v>62987</v>
      </c>
      <c r="N192" s="570">
        <f>AVERAGE(E192:M192)</f>
        <v>69673</v>
      </c>
      <c r="O192" s="609"/>
    </row>
    <row r="193" spans="1:15" ht="14.5" x14ac:dyDescent="0.35">
      <c r="A193" s="439" t="s">
        <v>37</v>
      </c>
      <c r="B193" s="469">
        <f>C74/27*27</f>
        <v>54103</v>
      </c>
      <c r="C193" s="758">
        <f>B193-55000</f>
        <v>-897</v>
      </c>
      <c r="D193" s="567" t="s">
        <v>37</v>
      </c>
      <c r="E193" s="527">
        <v>43365</v>
      </c>
      <c r="F193" s="525">
        <v>38287</v>
      </c>
      <c r="G193" s="526">
        <v>45858</v>
      </c>
      <c r="H193" s="526">
        <v>55612</v>
      </c>
      <c r="I193" s="527">
        <v>53980</v>
      </c>
      <c r="J193" s="574">
        <v>49420</v>
      </c>
      <c r="K193" s="574">
        <v>54821</v>
      </c>
      <c r="L193" s="527">
        <v>56018</v>
      </c>
      <c r="M193" s="585">
        <v>60228</v>
      </c>
      <c r="N193" s="570">
        <f>AVERAGE(E193:M193)</f>
        <v>50843.222222222219</v>
      </c>
      <c r="O193" s="609"/>
    </row>
    <row r="194" spans="1:15" ht="14.5" x14ac:dyDescent="0.35">
      <c r="A194" s="439" t="s">
        <v>100</v>
      </c>
      <c r="B194" s="469">
        <f>C110/27*27</f>
        <v>71263</v>
      </c>
      <c r="C194" s="759">
        <f>B194-55000</f>
        <v>16263</v>
      </c>
      <c r="D194" s="567" t="s">
        <v>100</v>
      </c>
      <c r="E194" s="527">
        <v>43344</v>
      </c>
      <c r="F194" s="525">
        <v>54088</v>
      </c>
      <c r="G194" s="526">
        <v>56961</v>
      </c>
      <c r="H194" s="526">
        <v>56144</v>
      </c>
      <c r="I194" s="527">
        <v>54118</v>
      </c>
      <c r="J194" s="574">
        <v>58320</v>
      </c>
      <c r="K194" s="574">
        <v>51390</v>
      </c>
      <c r="L194" s="527">
        <v>60136.999999999993</v>
      </c>
      <c r="M194" s="585">
        <v>56294</v>
      </c>
      <c r="N194" s="570">
        <f>AVERAGE(E194:M194)</f>
        <v>54532.888888888891</v>
      </c>
      <c r="O194" s="609"/>
    </row>
    <row r="195" spans="1:15" ht="14.5" x14ac:dyDescent="0.35">
      <c r="A195" s="463" t="s">
        <v>70</v>
      </c>
      <c r="B195" s="469">
        <f>C148/27*27</f>
        <v>38381</v>
      </c>
      <c r="C195" s="758">
        <f>B195-48000</f>
        <v>-9619</v>
      </c>
      <c r="D195" s="568" t="s">
        <v>70</v>
      </c>
      <c r="E195" s="532"/>
      <c r="F195" s="530"/>
      <c r="G195" s="531"/>
      <c r="H195" s="531"/>
      <c r="I195" s="532"/>
      <c r="J195" s="575"/>
      <c r="K195" s="575">
        <v>15641</v>
      </c>
      <c r="L195" s="527">
        <v>49296</v>
      </c>
      <c r="M195" s="585">
        <v>46460</v>
      </c>
      <c r="N195" s="570">
        <f>AVERAGE(L195:M195)</f>
        <v>47878</v>
      </c>
      <c r="O195" s="609"/>
    </row>
    <row r="196" spans="1:15" thickBot="1" x14ac:dyDescent="0.4">
      <c r="A196" s="440" t="s">
        <v>88</v>
      </c>
      <c r="B196" s="760">
        <f>C187/27*27</f>
        <v>51582</v>
      </c>
      <c r="C196" s="761"/>
      <c r="D196" s="567" t="s">
        <v>88</v>
      </c>
      <c r="E196" s="527">
        <v>34063</v>
      </c>
      <c r="F196" s="525">
        <v>44190</v>
      </c>
      <c r="G196" s="526">
        <v>32129</v>
      </c>
      <c r="H196" s="526">
        <v>67460</v>
      </c>
      <c r="I196" s="527">
        <v>57984</v>
      </c>
      <c r="J196" s="574">
        <v>47444</v>
      </c>
      <c r="K196" s="574">
        <v>56888</v>
      </c>
      <c r="L196" s="576">
        <v>64418</v>
      </c>
      <c r="M196" s="585">
        <v>47105</v>
      </c>
      <c r="N196" s="570">
        <f>AVERAGE(E196:M196)</f>
        <v>50186.777777777781</v>
      </c>
      <c r="O196" s="609"/>
    </row>
    <row r="197" spans="1:15" thickBot="1" x14ac:dyDescent="0.4">
      <c r="A197" s="441" t="s">
        <v>101</v>
      </c>
      <c r="B197" s="537">
        <f>SUM(B192:B196)</f>
        <v>280173</v>
      </c>
      <c r="C197" s="492">
        <f>SUM(C192:C196)</f>
        <v>2591</v>
      </c>
      <c r="D197" s="535" t="s">
        <v>101</v>
      </c>
      <c r="E197" s="571">
        <v>180450</v>
      </c>
      <c r="F197" s="572">
        <f>SUM(F192:F196)</f>
        <v>201890</v>
      </c>
      <c r="G197" s="572">
        <f>SUM(G192:G196)</f>
        <v>206311</v>
      </c>
      <c r="H197" s="572">
        <f>SUM(H192:H196)</f>
        <v>254590</v>
      </c>
      <c r="I197" s="572">
        <f>SUM(I192:I196)</f>
        <v>238682</v>
      </c>
      <c r="J197" s="572">
        <f>SUM(J192:J196)</f>
        <v>227214</v>
      </c>
      <c r="K197" s="572">
        <v>251285</v>
      </c>
      <c r="L197" s="573">
        <v>305024</v>
      </c>
      <c r="M197" s="586">
        <f>SUM(M192:M196)</f>
        <v>273074</v>
      </c>
      <c r="N197" s="536">
        <f>AVERAGE(E197:M197)</f>
        <v>237613.33333333334</v>
      </c>
    </row>
    <row r="198" spans="1:15" ht="14.5" x14ac:dyDescent="0.35">
      <c r="B198" s="444">
        <f>B197/27</f>
        <v>10376.777777777777</v>
      </c>
      <c r="E198" s="446">
        <f>E197/27</f>
        <v>6683.333333333333</v>
      </c>
      <c r="F198" s="446">
        <f>F197/25</f>
        <v>8075.6</v>
      </c>
      <c r="G198" s="446">
        <f>G197/26</f>
        <v>7935.0384615384619</v>
      </c>
      <c r="H198" s="446">
        <f>H197/26</f>
        <v>9791.9230769230762</v>
      </c>
      <c r="I198" s="446">
        <f>I197/26</f>
        <v>9180.0769230769238</v>
      </c>
      <c r="J198" s="446">
        <f>J197/25</f>
        <v>9088.56</v>
      </c>
      <c r="K198" s="446">
        <v>9664.8076923076915</v>
      </c>
      <c r="L198" s="446">
        <v>11297.185185185184</v>
      </c>
      <c r="M198" s="446">
        <f>M197/27</f>
        <v>10113.851851851852</v>
      </c>
      <c r="N198" s="446">
        <f>AVERAGE(E198:L198)</f>
        <v>8964.5655840455838</v>
      </c>
    </row>
    <row r="199" spans="1:15" ht="14.5" x14ac:dyDescent="0.35">
      <c r="B199" s="523"/>
      <c r="C199" s="433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</row>
    <row r="200" spans="1:15" ht="14.5" x14ac:dyDescent="0.35">
      <c r="A200" s="538" t="s">
        <v>102</v>
      </c>
      <c r="B200" s="538" t="s">
        <v>121</v>
      </c>
      <c r="C200" s="538" t="s">
        <v>122</v>
      </c>
      <c r="D200" s="539" t="s">
        <v>123</v>
      </c>
      <c r="E200" s="538" t="s">
        <v>124</v>
      </c>
      <c r="F200" s="538" t="s">
        <v>125</v>
      </c>
      <c r="G200" s="538" t="s">
        <v>126</v>
      </c>
      <c r="H200" s="538" t="s">
        <v>127</v>
      </c>
      <c r="I200" s="538" t="s">
        <v>116</v>
      </c>
      <c r="J200" s="539" t="s">
        <v>117</v>
      </c>
      <c r="K200" s="538" t="s">
        <v>118</v>
      </c>
      <c r="L200" s="538" t="s">
        <v>119</v>
      </c>
      <c r="M200" s="538" t="s">
        <v>120</v>
      </c>
      <c r="N200" s="342" t="s">
        <v>98</v>
      </c>
    </row>
    <row r="201" spans="1:15" ht="14.5" x14ac:dyDescent="0.35">
      <c r="A201" s="540" t="s">
        <v>99</v>
      </c>
      <c r="B201" s="540">
        <v>61961</v>
      </c>
      <c r="C201" s="540">
        <v>62927</v>
      </c>
      <c r="D201" s="541">
        <v>50792</v>
      </c>
      <c r="E201" s="540">
        <v>55786</v>
      </c>
      <c r="F201" s="540">
        <v>48081</v>
      </c>
      <c r="G201" s="540">
        <v>66142</v>
      </c>
      <c r="H201" s="540">
        <v>58127</v>
      </c>
      <c r="I201" s="540">
        <v>74979</v>
      </c>
      <c r="J201" s="541">
        <v>63950</v>
      </c>
      <c r="K201" s="540">
        <v>73973</v>
      </c>
      <c r="L201" s="540">
        <v>63776</v>
      </c>
      <c r="M201" s="540">
        <v>62209</v>
      </c>
      <c r="N201" s="330">
        <f>AVERAGE(B201:J201)</f>
        <v>60305</v>
      </c>
    </row>
    <row r="202" spans="1:15" ht="14.5" x14ac:dyDescent="0.35">
      <c r="A202" s="540" t="s">
        <v>37</v>
      </c>
      <c r="B202" s="540">
        <v>42564</v>
      </c>
      <c r="C202" s="540">
        <v>44217</v>
      </c>
      <c r="D202" s="541">
        <v>42911</v>
      </c>
      <c r="E202" s="540">
        <v>40388</v>
      </c>
      <c r="F202" s="540">
        <v>32034</v>
      </c>
      <c r="G202" s="540">
        <v>38086</v>
      </c>
      <c r="H202" s="540">
        <v>42706</v>
      </c>
      <c r="I202" s="540">
        <v>48870</v>
      </c>
      <c r="J202" s="541">
        <v>44783</v>
      </c>
      <c r="K202" s="540">
        <v>58612</v>
      </c>
      <c r="L202" s="540">
        <v>59247</v>
      </c>
      <c r="M202" s="540">
        <v>49882</v>
      </c>
      <c r="N202" s="330">
        <f>AVERAGE(B202:J202)</f>
        <v>41839.888888888891</v>
      </c>
    </row>
    <row r="203" spans="1:15" ht="14.5" x14ac:dyDescent="0.35">
      <c r="A203" s="540" t="s">
        <v>100</v>
      </c>
      <c r="B203" s="540">
        <v>49140</v>
      </c>
      <c r="C203" s="540">
        <v>45889</v>
      </c>
      <c r="D203" s="541">
        <v>42002</v>
      </c>
      <c r="E203" s="540">
        <v>29164</v>
      </c>
      <c r="F203" s="540">
        <v>24425</v>
      </c>
      <c r="G203" s="540">
        <v>32384</v>
      </c>
      <c r="H203" s="540">
        <v>26635</v>
      </c>
      <c r="I203" s="540">
        <v>38487</v>
      </c>
      <c r="J203" s="541">
        <v>41827</v>
      </c>
      <c r="K203" s="540">
        <v>48432</v>
      </c>
      <c r="L203" s="540">
        <v>45807</v>
      </c>
      <c r="M203" s="540">
        <v>47219</v>
      </c>
      <c r="N203" s="330">
        <f>AVERAGE(B203:J203)</f>
        <v>36661.444444444445</v>
      </c>
    </row>
    <row r="204" spans="1:15" ht="14.5" x14ac:dyDescent="0.35">
      <c r="A204" s="540" t="s">
        <v>88</v>
      </c>
      <c r="B204" s="540">
        <v>77358</v>
      </c>
      <c r="C204" s="540">
        <v>75185</v>
      </c>
      <c r="D204" s="541">
        <v>62889</v>
      </c>
      <c r="E204" s="540">
        <v>78647</v>
      </c>
      <c r="F204" s="540">
        <v>71233</v>
      </c>
      <c r="G204" s="540">
        <v>80881</v>
      </c>
      <c r="H204" s="540">
        <v>89693</v>
      </c>
      <c r="I204" s="540">
        <v>115741.16666666666</v>
      </c>
      <c r="J204" s="541">
        <v>92550</v>
      </c>
      <c r="K204" s="540">
        <v>102728</v>
      </c>
      <c r="L204" s="540">
        <v>102029</v>
      </c>
      <c r="M204" s="540">
        <v>73495</v>
      </c>
      <c r="N204" s="330">
        <f>AVERAGE(B204:J204)</f>
        <v>82686.351851851854</v>
      </c>
    </row>
    <row r="205" spans="1:15" ht="14.5" x14ac:dyDescent="0.35">
      <c r="A205" s="542" t="s">
        <v>101</v>
      </c>
      <c r="B205" s="543">
        <v>231023</v>
      </c>
      <c r="C205" s="543">
        <v>228218</v>
      </c>
      <c r="D205" s="544">
        <v>198594</v>
      </c>
      <c r="E205" s="543">
        <v>203985</v>
      </c>
      <c r="F205" s="543">
        <v>175773</v>
      </c>
      <c r="G205" s="543">
        <v>217493</v>
      </c>
      <c r="H205" s="543">
        <v>217161</v>
      </c>
      <c r="I205" s="543">
        <f>SUM(I201:I204)</f>
        <v>278077.16666666663</v>
      </c>
      <c r="J205" s="543">
        <f>SUM(J201:J204)</f>
        <v>243110</v>
      </c>
      <c r="K205" s="543">
        <v>283745</v>
      </c>
      <c r="L205" s="543">
        <v>270859</v>
      </c>
      <c r="M205" s="543">
        <v>232805</v>
      </c>
      <c r="N205" s="536">
        <f>AVERAGE(B205:J205)</f>
        <v>221492.68518518517</v>
      </c>
    </row>
    <row r="206" spans="1:15" ht="14.5" x14ac:dyDescent="0.35">
      <c r="A206" s="545" t="s">
        <v>607</v>
      </c>
      <c r="F206" s="262"/>
      <c r="G206" s="262"/>
      <c r="H206" s="262"/>
      <c r="I206" s="262"/>
      <c r="J206" s="262"/>
    </row>
    <row r="207" spans="1:15" ht="14.5" x14ac:dyDescent="0.35"/>
    <row r="208" spans="1:15" ht="14.5" x14ac:dyDescent="0.35">
      <c r="A208" s="538" t="s">
        <v>102</v>
      </c>
      <c r="B208" s="538" t="s">
        <v>133</v>
      </c>
      <c r="C208" s="538" t="s">
        <v>134</v>
      </c>
      <c r="D208" s="539" t="s">
        <v>135</v>
      </c>
      <c r="E208" s="546" t="s">
        <v>136</v>
      </c>
      <c r="F208" s="538" t="s">
        <v>137</v>
      </c>
      <c r="G208" s="538" t="s">
        <v>138</v>
      </c>
      <c r="H208" s="538" t="s">
        <v>139</v>
      </c>
      <c r="I208" s="538" t="s">
        <v>128</v>
      </c>
      <c r="J208" s="539" t="s">
        <v>129</v>
      </c>
      <c r="K208" s="538" t="s">
        <v>130</v>
      </c>
      <c r="L208" s="538" t="s">
        <v>131</v>
      </c>
      <c r="M208" s="538" t="s">
        <v>132</v>
      </c>
      <c r="N208" s="342" t="s">
        <v>98</v>
      </c>
    </row>
    <row r="209" spans="1:14" ht="14.5" x14ac:dyDescent="0.35">
      <c r="A209" s="547" t="s">
        <v>99</v>
      </c>
      <c r="B209" s="549">
        <v>54932</v>
      </c>
      <c r="C209" s="549">
        <v>43776</v>
      </c>
      <c r="D209" s="550">
        <v>49810</v>
      </c>
      <c r="E209" s="525">
        <v>75616</v>
      </c>
      <c r="F209" s="548">
        <v>68029</v>
      </c>
      <c r="G209" s="548">
        <v>59606</v>
      </c>
      <c r="H209" s="548">
        <v>63396</v>
      </c>
      <c r="I209" s="548">
        <v>52819.21</v>
      </c>
      <c r="J209" s="551">
        <v>53324</v>
      </c>
      <c r="K209" s="548">
        <v>61519</v>
      </c>
      <c r="L209" s="548">
        <v>70743</v>
      </c>
      <c r="M209" s="549">
        <v>55027</v>
      </c>
      <c r="N209" s="329">
        <f>AVERAGE(B209:J209)</f>
        <v>57923.134444444448</v>
      </c>
    </row>
    <row r="210" spans="1:14" ht="14.5" x14ac:dyDescent="0.35">
      <c r="A210" s="547" t="s">
        <v>37</v>
      </c>
      <c r="B210" s="549">
        <v>39875</v>
      </c>
      <c r="C210" s="549">
        <v>35835</v>
      </c>
      <c r="D210" s="550">
        <v>28946</v>
      </c>
      <c r="E210" s="525">
        <v>43422</v>
      </c>
      <c r="F210" s="548">
        <v>35147</v>
      </c>
      <c r="G210" s="548">
        <v>37370</v>
      </c>
      <c r="H210" s="548">
        <v>39971</v>
      </c>
      <c r="I210" s="548">
        <v>33459.82</v>
      </c>
      <c r="J210" s="551">
        <v>39860</v>
      </c>
      <c r="K210" s="548">
        <v>41717</v>
      </c>
      <c r="L210" s="548">
        <v>40181</v>
      </c>
      <c r="M210" s="549">
        <v>41079</v>
      </c>
      <c r="N210" s="329">
        <f>AVERAGE(B210:J210)</f>
        <v>37098.424444444448</v>
      </c>
    </row>
    <row r="211" spans="1:14" ht="14.5" x14ac:dyDescent="0.35">
      <c r="A211" s="547" t="s">
        <v>100</v>
      </c>
      <c r="B211" s="549">
        <v>23756</v>
      </c>
      <c r="C211" s="549">
        <v>18015</v>
      </c>
      <c r="D211" s="550">
        <v>15778</v>
      </c>
      <c r="E211" s="546" t="s">
        <v>140</v>
      </c>
      <c r="F211" s="538"/>
      <c r="G211" s="538"/>
      <c r="H211" s="548">
        <v>3428</v>
      </c>
      <c r="I211" s="548">
        <v>13471.49</v>
      </c>
      <c r="J211" s="551">
        <v>12544</v>
      </c>
      <c r="K211" s="548">
        <v>13788</v>
      </c>
      <c r="L211" s="548">
        <v>17451</v>
      </c>
      <c r="M211" s="549">
        <v>20924</v>
      </c>
      <c r="N211" s="329">
        <f>AVERAGE(B211:J211)</f>
        <v>14498.748333333335</v>
      </c>
    </row>
    <row r="212" spans="1:14" ht="14.5" x14ac:dyDescent="0.35">
      <c r="A212" s="547" t="s">
        <v>88</v>
      </c>
      <c r="B212" s="549">
        <v>99078</v>
      </c>
      <c r="C212" s="549">
        <v>75226</v>
      </c>
      <c r="D212" s="550">
        <v>76874</v>
      </c>
      <c r="E212" s="525">
        <v>51000</v>
      </c>
      <c r="F212" s="548">
        <v>41240</v>
      </c>
      <c r="G212" s="548">
        <v>47352</v>
      </c>
      <c r="H212" s="548">
        <v>49038</v>
      </c>
      <c r="I212" s="548">
        <v>21042</v>
      </c>
      <c r="J212" s="551">
        <v>35748</v>
      </c>
      <c r="K212" s="548">
        <v>44347</v>
      </c>
      <c r="L212" s="548">
        <v>72570</v>
      </c>
      <c r="M212" s="549">
        <v>89947</v>
      </c>
      <c r="N212" s="329">
        <f>AVERAGE(B212:J212)</f>
        <v>55177.555555555555</v>
      </c>
    </row>
    <row r="213" spans="1:14" ht="14.5" x14ac:dyDescent="0.35">
      <c r="A213" s="542" t="s">
        <v>101</v>
      </c>
      <c r="B213" s="543">
        <v>217641</v>
      </c>
      <c r="C213" s="543">
        <v>172852</v>
      </c>
      <c r="D213" s="544">
        <v>171408</v>
      </c>
      <c r="E213" s="553">
        <v>170038</v>
      </c>
      <c r="F213" s="552">
        <f t="shared" ref="F213:K213" si="2">SUM(F209:F212)</f>
        <v>144416</v>
      </c>
      <c r="G213" s="552">
        <f t="shared" si="2"/>
        <v>144328</v>
      </c>
      <c r="H213" s="552">
        <f t="shared" si="2"/>
        <v>155833</v>
      </c>
      <c r="I213" s="552">
        <f t="shared" si="2"/>
        <v>120792.52</v>
      </c>
      <c r="J213" s="552">
        <f t="shared" si="2"/>
        <v>141476</v>
      </c>
      <c r="K213" s="552">
        <f t="shared" si="2"/>
        <v>161371</v>
      </c>
      <c r="L213" s="552">
        <f>SUM(L209:L212)</f>
        <v>200945</v>
      </c>
      <c r="M213" s="543">
        <v>206977</v>
      </c>
      <c r="N213" s="552">
        <f>AVERAGE(B213:J213)</f>
        <v>159864.94666666666</v>
      </c>
    </row>
    <row r="214" spans="1:14" ht="14.5" x14ac:dyDescent="0.35"/>
    <row r="215" spans="1:14" ht="14.5" x14ac:dyDescent="0.35">
      <c r="A215" s="542"/>
      <c r="B215" s="542"/>
      <c r="C215" s="562" t="s">
        <v>141</v>
      </c>
      <c r="D215" s="542" t="s">
        <v>142</v>
      </c>
      <c r="I215" s="262"/>
      <c r="J215" s="262"/>
      <c r="K215" s="262"/>
      <c r="L215" s="262"/>
      <c r="M215" s="262"/>
    </row>
    <row r="216" spans="1:14" s="580" customFormat="1" ht="14.5" x14ac:dyDescent="0.35">
      <c r="A216" s="192" t="s">
        <v>22</v>
      </c>
      <c r="B216" s="193">
        <v>45566</v>
      </c>
      <c r="C216" s="584">
        <f t="shared" ref="C216:C245" si="3">C4+C43+C79+C117+C156</f>
        <v>7792</v>
      </c>
      <c r="D216" s="584">
        <f>C216</f>
        <v>7792</v>
      </c>
    </row>
    <row r="217" spans="1:14" ht="14.5" x14ac:dyDescent="0.35">
      <c r="A217" s="192" t="s">
        <v>24</v>
      </c>
      <c r="B217" s="193">
        <v>45567</v>
      </c>
      <c r="C217" s="584">
        <f t="shared" si="3"/>
        <v>8534</v>
      </c>
      <c r="D217" s="584">
        <f>C216+C217</f>
        <v>16326</v>
      </c>
    </row>
    <row r="218" spans="1:14" ht="14.5" x14ac:dyDescent="0.35">
      <c r="A218" s="192" t="s">
        <v>10</v>
      </c>
      <c r="B218" s="193">
        <v>45568</v>
      </c>
      <c r="C218" s="584">
        <f t="shared" si="3"/>
        <v>12807</v>
      </c>
      <c r="D218" s="584">
        <f t="shared" ref="D218:D245" si="4">D217+C218</f>
        <v>29133</v>
      </c>
    </row>
    <row r="219" spans="1:14" ht="14.5" x14ac:dyDescent="0.35">
      <c r="A219" s="192" t="s">
        <v>13</v>
      </c>
      <c r="B219" s="193">
        <v>45569</v>
      </c>
      <c r="C219" s="584">
        <f t="shared" si="3"/>
        <v>12689</v>
      </c>
      <c r="D219" s="584">
        <f t="shared" si="4"/>
        <v>41822</v>
      </c>
    </row>
    <row r="220" spans="1:14" ht="14.5" x14ac:dyDescent="0.35">
      <c r="A220" s="192" t="s">
        <v>16</v>
      </c>
      <c r="B220" s="193">
        <v>45570</v>
      </c>
      <c r="C220" s="584">
        <f t="shared" si="3"/>
        <v>7939</v>
      </c>
      <c r="D220" s="584">
        <f t="shared" si="4"/>
        <v>49761</v>
      </c>
    </row>
    <row r="221" spans="1:14" ht="14.5" x14ac:dyDescent="0.35">
      <c r="A221" s="192" t="s">
        <v>18</v>
      </c>
      <c r="B221" s="193">
        <v>45571</v>
      </c>
      <c r="C221" s="584">
        <f t="shared" si="3"/>
        <v>0</v>
      </c>
      <c r="D221" s="584">
        <f t="shared" si="4"/>
        <v>49761</v>
      </c>
    </row>
    <row r="222" spans="1:14" ht="14.5" x14ac:dyDescent="0.35">
      <c r="A222" s="192" t="s">
        <v>20</v>
      </c>
      <c r="B222" s="193">
        <v>45572</v>
      </c>
      <c r="C222" s="584">
        <f t="shared" si="3"/>
        <v>7918</v>
      </c>
      <c r="D222" s="584">
        <f t="shared" si="4"/>
        <v>57679</v>
      </c>
      <c r="I222" s="554"/>
      <c r="J222" s="554"/>
      <c r="K222" s="554"/>
      <c r="L222" s="555"/>
      <c r="M222" s="554"/>
    </row>
    <row r="223" spans="1:14" ht="14.5" x14ac:dyDescent="0.35">
      <c r="A223" s="192" t="s">
        <v>22</v>
      </c>
      <c r="B223" s="193">
        <v>45573</v>
      </c>
      <c r="C223" s="584">
        <f t="shared" si="3"/>
        <v>11686</v>
      </c>
      <c r="D223" s="584">
        <f t="shared" si="4"/>
        <v>69365</v>
      </c>
    </row>
    <row r="224" spans="1:14" ht="14.5" x14ac:dyDescent="0.35">
      <c r="A224" s="192" t="s">
        <v>24</v>
      </c>
      <c r="B224" s="193">
        <v>45574</v>
      </c>
      <c r="C224" s="584">
        <f t="shared" si="3"/>
        <v>7926</v>
      </c>
      <c r="D224" s="584">
        <f t="shared" si="4"/>
        <v>77291</v>
      </c>
    </row>
    <row r="225" spans="1:4" ht="14.5" x14ac:dyDescent="0.35">
      <c r="A225" s="192" t="s">
        <v>10</v>
      </c>
      <c r="B225" s="193">
        <v>45575</v>
      </c>
      <c r="C225" s="584">
        <f t="shared" si="3"/>
        <v>11623</v>
      </c>
      <c r="D225" s="584">
        <f t="shared" si="4"/>
        <v>88914</v>
      </c>
    </row>
    <row r="226" spans="1:4" ht="14.5" x14ac:dyDescent="0.35">
      <c r="A226" s="192" t="s">
        <v>13</v>
      </c>
      <c r="B226" s="193">
        <v>45576</v>
      </c>
      <c r="C226" s="584">
        <f t="shared" si="3"/>
        <v>7929</v>
      </c>
      <c r="D226" s="584">
        <f t="shared" si="4"/>
        <v>96843</v>
      </c>
    </row>
    <row r="227" spans="1:4" ht="14.5" x14ac:dyDescent="0.35">
      <c r="A227" s="192" t="s">
        <v>16</v>
      </c>
      <c r="B227" s="193">
        <v>45577</v>
      </c>
      <c r="C227" s="584">
        <f t="shared" si="3"/>
        <v>8301</v>
      </c>
      <c r="D227" s="584">
        <f t="shared" si="4"/>
        <v>105144</v>
      </c>
    </row>
    <row r="228" spans="1:4" ht="14.5" x14ac:dyDescent="0.35">
      <c r="A228" s="192" t="s">
        <v>18</v>
      </c>
      <c r="B228" s="193">
        <v>45578</v>
      </c>
      <c r="C228" s="584">
        <f t="shared" si="3"/>
        <v>0</v>
      </c>
      <c r="D228" s="584">
        <f t="shared" si="4"/>
        <v>105144</v>
      </c>
    </row>
    <row r="229" spans="1:4" ht="14.5" x14ac:dyDescent="0.35">
      <c r="A229" s="192" t="s">
        <v>20</v>
      </c>
      <c r="B229" s="193">
        <v>45579</v>
      </c>
      <c r="C229" s="584">
        <f t="shared" si="3"/>
        <v>15619</v>
      </c>
      <c r="D229" s="584">
        <f t="shared" si="4"/>
        <v>120763</v>
      </c>
    </row>
    <row r="230" spans="1:4" s="580" customFormat="1" ht="14.5" x14ac:dyDescent="0.35">
      <c r="A230" s="192" t="s">
        <v>22</v>
      </c>
      <c r="B230" s="193">
        <v>45580</v>
      </c>
      <c r="C230" s="584">
        <f t="shared" si="3"/>
        <v>13832</v>
      </c>
      <c r="D230" s="584">
        <f t="shared" si="4"/>
        <v>134595</v>
      </c>
    </row>
    <row r="231" spans="1:4" ht="14.5" x14ac:dyDescent="0.35">
      <c r="A231" s="192" t="s">
        <v>24</v>
      </c>
      <c r="B231" s="193">
        <v>45581</v>
      </c>
      <c r="C231" s="584">
        <f t="shared" si="3"/>
        <v>9733</v>
      </c>
      <c r="D231" s="584">
        <f t="shared" si="4"/>
        <v>144328</v>
      </c>
    </row>
    <row r="232" spans="1:4" ht="14.5" x14ac:dyDescent="0.35">
      <c r="A232" s="192" t="s">
        <v>10</v>
      </c>
      <c r="B232" s="193">
        <v>45582</v>
      </c>
      <c r="C232" s="584">
        <f t="shared" si="3"/>
        <v>9314</v>
      </c>
      <c r="D232" s="584">
        <f t="shared" si="4"/>
        <v>153642</v>
      </c>
    </row>
    <row r="233" spans="1:4" ht="14.5" x14ac:dyDescent="0.35">
      <c r="A233" s="192" t="s">
        <v>13</v>
      </c>
      <c r="B233" s="193">
        <v>45583</v>
      </c>
      <c r="C233" s="584">
        <f t="shared" si="3"/>
        <v>11168</v>
      </c>
      <c r="D233" s="584">
        <f t="shared" si="4"/>
        <v>164810</v>
      </c>
    </row>
    <row r="234" spans="1:4" ht="14.5" x14ac:dyDescent="0.35">
      <c r="A234" s="192" t="s">
        <v>16</v>
      </c>
      <c r="B234" s="193">
        <v>45584</v>
      </c>
      <c r="C234" s="584">
        <f t="shared" si="3"/>
        <v>10099</v>
      </c>
      <c r="D234" s="584">
        <f t="shared" si="4"/>
        <v>174909</v>
      </c>
    </row>
    <row r="235" spans="1:4" ht="15" customHeight="1" x14ac:dyDescent="0.35">
      <c r="A235" s="192" t="s">
        <v>18</v>
      </c>
      <c r="B235" s="193">
        <v>45585</v>
      </c>
      <c r="C235" s="584">
        <f t="shared" si="3"/>
        <v>0</v>
      </c>
      <c r="D235" s="584">
        <f t="shared" si="4"/>
        <v>174909</v>
      </c>
    </row>
    <row r="236" spans="1:4" ht="15" customHeight="1" x14ac:dyDescent="0.35">
      <c r="A236" s="192" t="s">
        <v>20</v>
      </c>
      <c r="B236" s="193">
        <v>45586</v>
      </c>
      <c r="C236" s="584">
        <f t="shared" si="3"/>
        <v>17849</v>
      </c>
      <c r="D236" s="584">
        <f t="shared" si="4"/>
        <v>192758</v>
      </c>
    </row>
    <row r="237" spans="1:4" s="580" customFormat="1" ht="15" customHeight="1" x14ac:dyDescent="0.35">
      <c r="A237" s="192" t="s">
        <v>22</v>
      </c>
      <c r="B237" s="193">
        <v>45587</v>
      </c>
      <c r="C237" s="584">
        <f t="shared" si="3"/>
        <v>10255</v>
      </c>
      <c r="D237" s="584">
        <f t="shared" si="4"/>
        <v>203013</v>
      </c>
    </row>
    <row r="238" spans="1:4" ht="15" customHeight="1" x14ac:dyDescent="0.35">
      <c r="A238" s="192" t="s">
        <v>24</v>
      </c>
      <c r="B238" s="193">
        <v>45588</v>
      </c>
      <c r="C238" s="584">
        <f t="shared" si="3"/>
        <v>6292</v>
      </c>
      <c r="D238" s="584">
        <f t="shared" si="4"/>
        <v>209305</v>
      </c>
    </row>
    <row r="239" spans="1:4" ht="15" customHeight="1" x14ac:dyDescent="0.35">
      <c r="A239" s="192" t="s">
        <v>10</v>
      </c>
      <c r="B239" s="193">
        <v>45589</v>
      </c>
      <c r="C239" s="584">
        <f t="shared" si="3"/>
        <v>8653</v>
      </c>
      <c r="D239" s="584">
        <f t="shared" si="4"/>
        <v>217958</v>
      </c>
    </row>
    <row r="240" spans="1:4" ht="15" customHeight="1" x14ac:dyDescent="0.35">
      <c r="A240" s="192" t="s">
        <v>13</v>
      </c>
      <c r="B240" s="193">
        <v>45590</v>
      </c>
      <c r="C240" s="584">
        <f t="shared" si="3"/>
        <v>10816</v>
      </c>
      <c r="D240" s="584">
        <f t="shared" si="4"/>
        <v>228774</v>
      </c>
    </row>
    <row r="241" spans="1:4" ht="15" customHeight="1" x14ac:dyDescent="0.35">
      <c r="A241" s="192" t="s">
        <v>16</v>
      </c>
      <c r="B241" s="193">
        <v>45591</v>
      </c>
      <c r="C241" s="584">
        <f t="shared" si="3"/>
        <v>9762</v>
      </c>
      <c r="D241" s="584">
        <f t="shared" si="4"/>
        <v>238536</v>
      </c>
    </row>
    <row r="242" spans="1:4" ht="15" customHeight="1" x14ac:dyDescent="0.35">
      <c r="A242" s="192" t="s">
        <v>18</v>
      </c>
      <c r="B242" s="193">
        <v>45592</v>
      </c>
      <c r="C242" s="584">
        <f t="shared" si="3"/>
        <v>0</v>
      </c>
      <c r="D242" s="584">
        <f t="shared" si="4"/>
        <v>238536</v>
      </c>
    </row>
    <row r="243" spans="1:4" ht="15" customHeight="1" x14ac:dyDescent="0.35">
      <c r="A243" s="192" t="s">
        <v>20</v>
      </c>
      <c r="B243" s="193">
        <v>45593</v>
      </c>
      <c r="C243" s="584">
        <f t="shared" si="3"/>
        <v>11425</v>
      </c>
      <c r="D243" s="584">
        <f t="shared" si="4"/>
        <v>249961</v>
      </c>
    </row>
    <row r="244" spans="1:4" s="580" customFormat="1" ht="15" customHeight="1" x14ac:dyDescent="0.35">
      <c r="A244" s="192" t="s">
        <v>22</v>
      </c>
      <c r="B244" s="193">
        <v>45594</v>
      </c>
      <c r="C244" s="584">
        <f t="shared" si="3"/>
        <v>13637</v>
      </c>
      <c r="D244" s="584">
        <f t="shared" si="4"/>
        <v>263598</v>
      </c>
    </row>
    <row r="245" spans="1:4" ht="15" customHeight="1" x14ac:dyDescent="0.35">
      <c r="A245" s="192" t="s">
        <v>24</v>
      </c>
      <c r="B245" s="193">
        <v>45595</v>
      </c>
      <c r="C245" s="584">
        <f t="shared" si="3"/>
        <v>7775</v>
      </c>
      <c r="D245" s="584">
        <f t="shared" si="4"/>
        <v>271373</v>
      </c>
    </row>
    <row r="246" spans="1:4" ht="15" customHeight="1" x14ac:dyDescent="0.35">
      <c r="A246" s="560" t="s">
        <v>10</v>
      </c>
      <c r="B246" s="561">
        <v>45596</v>
      </c>
      <c r="C246" s="622">
        <f>C34+C73+C109+C147+C186</f>
        <v>8800</v>
      </c>
      <c r="D246" s="622">
        <f>D245+C246</f>
        <v>280173</v>
      </c>
    </row>
  </sheetData>
  <mergeCells count="16">
    <mergeCell ref="B1:F1"/>
    <mergeCell ref="B2:B3"/>
    <mergeCell ref="C2:C3"/>
    <mergeCell ref="K4:L4"/>
    <mergeCell ref="B41:B42"/>
    <mergeCell ref="C41:C42"/>
    <mergeCell ref="K119:L119"/>
    <mergeCell ref="A152:B155"/>
    <mergeCell ref="C152:E153"/>
    <mergeCell ref="C154:C155"/>
    <mergeCell ref="K43:L43"/>
    <mergeCell ref="B77:B78"/>
    <mergeCell ref="C77:C78"/>
    <mergeCell ref="K79:L79"/>
    <mergeCell ref="B115:B116"/>
    <mergeCell ref="C115:C116"/>
  </mergeCells>
  <phoneticPr fontId="19" type="noConversion"/>
  <conditionalFormatting sqref="A216:B246">
    <cfRule type="expression" dxfId="60" priority="1">
      <formula>ISODD(ROW())</formula>
    </cfRule>
  </conditionalFormatting>
  <conditionalFormatting sqref="A79:F109 G105 G106:H106 I106:I109 H107 G108:H109">
    <cfRule type="expression" dxfId="59" priority="9">
      <formula>ISEVEN(ROW())</formula>
    </cfRule>
  </conditionalFormatting>
  <conditionalFormatting sqref="A4:I4 A5:B34">
    <cfRule type="expression" dxfId="58" priority="6">
      <formula>ISODD(ROW())</formula>
    </cfRule>
  </conditionalFormatting>
  <conditionalFormatting sqref="A43:I73">
    <cfRule type="expression" dxfId="57" priority="5">
      <formula>ISEVEN(ROW())</formula>
    </cfRule>
  </conditionalFormatting>
  <conditionalFormatting sqref="C5:F5">
    <cfRule type="expression" dxfId="56" priority="8">
      <formula>ISEVEN(ROW())</formula>
    </cfRule>
  </conditionalFormatting>
  <conditionalFormatting sqref="C6:I34 A156:F186">
    <cfRule type="expression" dxfId="55" priority="7">
      <formula>ISODD(ROW())</formula>
    </cfRule>
  </conditionalFormatting>
  <conditionalFormatting sqref="G5:I5">
    <cfRule type="expression" dxfId="54" priority="10">
      <formula>ISODD(ROW())</formula>
    </cfRule>
  </conditionalFormatting>
  <conditionalFormatting sqref="G79:I104">
    <cfRule type="expression" dxfId="53" priority="4">
      <formula>ISEVEN(ROW())</formula>
    </cfRule>
  </conditionalFormatting>
  <conditionalFormatting sqref="G117:I142 A117:F147 G143 G144:H144 I144:I147 H145 G146:H147">
    <cfRule type="expression" dxfId="52" priority="3">
      <formula>ISEVEN(ROW())</formula>
    </cfRule>
  </conditionalFormatting>
  <conditionalFormatting sqref="M2:M16 M18:M21 M27:M32 M34:M35 K37:K39 N41:N43 N49:N60 M55:M59 M65:M68 N65:N74 N77:N110 M111:M170 H152:H188">
    <cfRule type="cellIs" dxfId="51" priority="11" operator="greaterThan">
      <formula>0</formula>
    </cfRule>
    <cfRule type="cellIs" dxfId="50" priority="1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CA88-E726-43BD-993D-21AD69D18228}">
  <sheetPr>
    <tabColor rgb="FF00B0F0"/>
  </sheetPr>
  <dimension ref="A1:N245"/>
  <sheetViews>
    <sheetView topLeftCell="A124" workbookViewId="0">
      <selection activeCell="K146" sqref="K146"/>
    </sheetView>
  </sheetViews>
  <sheetFormatPr defaultColWidth="9.1796875" defaultRowHeight="15" customHeight="1" x14ac:dyDescent="0.35"/>
  <cols>
    <col min="1" max="1" width="18.453125" customWidth="1"/>
    <col min="2" max="2" width="21" customWidth="1"/>
    <col min="3" max="3" width="16.453125" customWidth="1"/>
    <col min="4" max="4" width="16.1796875" customWidth="1"/>
    <col min="5" max="5" width="22.453125" customWidth="1"/>
    <col min="6" max="6" width="19.81640625" customWidth="1"/>
    <col min="7" max="7" width="16.453125" customWidth="1"/>
    <col min="8" max="8" width="13" customWidth="1"/>
    <col min="9" max="9" width="12.81640625" bestFit="1" customWidth="1"/>
    <col min="10" max="10" width="15.81640625" bestFit="1" customWidth="1"/>
    <col min="11" max="11" width="14.453125" bestFit="1" customWidth="1"/>
    <col min="12" max="12" width="12.453125" customWidth="1"/>
    <col min="13" max="13" width="17.453125" customWidth="1"/>
    <col min="14" max="14" width="18.453125" customWidth="1"/>
    <col min="15" max="15" width="14.81640625" customWidth="1"/>
    <col min="16" max="16" width="12.54296875" customWidth="1"/>
  </cols>
  <sheetData>
    <row r="1" spans="1:14" ht="17.5" customHeight="1" thickBot="1" x14ac:dyDescent="0.5">
      <c r="A1" s="262"/>
      <c r="B1" s="930" t="s">
        <v>0</v>
      </c>
      <c r="C1" s="930"/>
      <c r="D1" s="930"/>
      <c r="E1" s="930"/>
      <c r="F1" s="930"/>
      <c r="G1" s="262"/>
      <c r="H1" s="262"/>
      <c r="I1" s="262"/>
      <c r="J1" s="262"/>
      <c r="K1" s="262"/>
      <c r="L1" s="262"/>
      <c r="M1" s="262"/>
    </row>
    <row r="2" spans="1:14" ht="15.65" customHeight="1" x14ac:dyDescent="0.4">
      <c r="A2" s="348"/>
      <c r="B2" s="926" t="s">
        <v>1</v>
      </c>
      <c r="C2" s="935" t="s">
        <v>0</v>
      </c>
      <c r="D2" s="298" t="s">
        <v>2</v>
      </c>
      <c r="E2" s="184" t="s">
        <v>3</v>
      </c>
      <c r="F2" s="496" t="s">
        <v>143</v>
      </c>
      <c r="G2" s="186" t="s">
        <v>6</v>
      </c>
      <c r="H2" s="187" t="s">
        <v>7</v>
      </c>
      <c r="I2" s="349"/>
      <c r="J2" s="349"/>
      <c r="K2" s="349"/>
      <c r="L2" s="349"/>
      <c r="M2" s="349"/>
      <c r="N2" s="349"/>
    </row>
    <row r="3" spans="1:14" ht="30.75" customHeight="1" x14ac:dyDescent="0.35">
      <c r="A3" s="497"/>
      <c r="B3" s="934"/>
      <c r="C3" s="936"/>
      <c r="D3" s="299" t="s">
        <v>0</v>
      </c>
      <c r="E3" s="498" t="s">
        <v>0</v>
      </c>
      <c r="F3" s="499" t="s">
        <v>0</v>
      </c>
      <c r="G3" s="500" t="s">
        <v>8</v>
      </c>
      <c r="H3" s="501" t="s">
        <v>9</v>
      </c>
      <c r="I3" s="262"/>
      <c r="J3" s="262"/>
      <c r="K3" s="262"/>
      <c r="L3" s="262"/>
      <c r="M3" s="262"/>
      <c r="N3" s="262"/>
    </row>
    <row r="4" spans="1:14" ht="14.5" x14ac:dyDescent="0.35">
      <c r="A4" s="192" t="s">
        <v>18</v>
      </c>
      <c r="B4" s="193">
        <v>45536</v>
      </c>
      <c r="C4" s="194"/>
      <c r="D4" s="195"/>
      <c r="E4" s="196"/>
      <c r="F4" s="197"/>
      <c r="G4" s="215"/>
      <c r="H4" s="502"/>
      <c r="I4" s="262"/>
      <c r="J4" s="262"/>
      <c r="K4" s="923" t="s">
        <v>12</v>
      </c>
      <c r="L4" s="923"/>
      <c r="M4" s="262"/>
      <c r="N4" s="262"/>
    </row>
    <row r="5" spans="1:14" ht="14.5" x14ac:dyDescent="0.35">
      <c r="A5" s="192" t="s">
        <v>20</v>
      </c>
      <c r="B5" s="193">
        <v>45537</v>
      </c>
      <c r="C5" s="200">
        <v>2589</v>
      </c>
      <c r="D5" s="201">
        <v>79</v>
      </c>
      <c r="E5" s="202">
        <v>0</v>
      </c>
      <c r="F5" s="557">
        <v>3</v>
      </c>
      <c r="G5" s="559" t="s">
        <v>793</v>
      </c>
      <c r="H5" s="558">
        <v>15</v>
      </c>
      <c r="I5" s="262"/>
      <c r="J5" s="262"/>
      <c r="K5" s="503" t="s">
        <v>15</v>
      </c>
      <c r="L5" s="365">
        <v>72000</v>
      </c>
      <c r="M5" s="262"/>
      <c r="N5" s="262"/>
    </row>
    <row r="6" spans="1:14" ht="14.5" x14ac:dyDescent="0.35">
      <c r="A6" s="192" t="s">
        <v>22</v>
      </c>
      <c r="B6" s="193">
        <v>45538</v>
      </c>
      <c r="C6" s="205">
        <v>1698</v>
      </c>
      <c r="D6" s="206">
        <v>54</v>
      </c>
      <c r="E6" s="207">
        <v>0</v>
      </c>
      <c r="F6" s="207">
        <v>2</v>
      </c>
      <c r="G6" s="207" t="s">
        <v>794</v>
      </c>
      <c r="H6" s="208">
        <v>16</v>
      </c>
      <c r="I6" s="262"/>
      <c r="J6" s="262"/>
      <c r="K6" s="504" t="s">
        <v>17</v>
      </c>
      <c r="L6" s="371">
        <v>2400</v>
      </c>
      <c r="M6" s="262"/>
      <c r="N6" s="262"/>
    </row>
    <row r="7" spans="1:14" ht="14.5" x14ac:dyDescent="0.35">
      <c r="A7" s="192" t="s">
        <v>24</v>
      </c>
      <c r="B7" s="193">
        <v>45539</v>
      </c>
      <c r="C7" s="209">
        <v>2627</v>
      </c>
      <c r="D7" s="210">
        <v>89</v>
      </c>
      <c r="E7" s="211">
        <v>0</v>
      </c>
      <c r="F7" s="211">
        <v>6</v>
      </c>
      <c r="G7" s="211" t="s">
        <v>795</v>
      </c>
      <c r="H7" s="208">
        <v>16</v>
      </c>
      <c r="I7" s="262"/>
      <c r="J7" s="262"/>
      <c r="K7" s="505" t="s">
        <v>3</v>
      </c>
      <c r="L7" s="376">
        <v>15</v>
      </c>
      <c r="M7" s="262"/>
      <c r="N7" s="262"/>
    </row>
    <row r="8" spans="1:14" ht="14.5" x14ac:dyDescent="0.35">
      <c r="A8" s="192" t="s">
        <v>10</v>
      </c>
      <c r="B8" s="193">
        <v>45540</v>
      </c>
      <c r="C8" s="205">
        <v>2650</v>
      </c>
      <c r="D8" s="206">
        <v>58</v>
      </c>
      <c r="E8" s="207">
        <v>0</v>
      </c>
      <c r="F8" s="207">
        <v>6</v>
      </c>
      <c r="G8" s="207" t="s">
        <v>796</v>
      </c>
      <c r="H8" s="208">
        <v>19</v>
      </c>
      <c r="I8" s="262"/>
      <c r="J8" s="262"/>
      <c r="K8" s="262"/>
      <c r="L8" s="262"/>
      <c r="M8" s="262"/>
      <c r="N8" s="262"/>
    </row>
    <row r="9" spans="1:14" ht="14.5" x14ac:dyDescent="0.35">
      <c r="A9" s="192" t="s">
        <v>13</v>
      </c>
      <c r="B9" s="193">
        <v>45541</v>
      </c>
      <c r="C9" s="212">
        <v>2733</v>
      </c>
      <c r="D9" s="213">
        <v>79</v>
      </c>
      <c r="E9" s="203">
        <v>0</v>
      </c>
      <c r="F9" s="203">
        <v>5</v>
      </c>
      <c r="G9" s="207" t="s">
        <v>797</v>
      </c>
      <c r="H9" s="204">
        <v>22</v>
      </c>
      <c r="I9" s="262"/>
      <c r="J9" s="262"/>
      <c r="K9" s="262"/>
      <c r="L9" s="262"/>
      <c r="M9" s="262"/>
      <c r="N9" s="262"/>
    </row>
    <row r="10" spans="1:14" ht="14.5" x14ac:dyDescent="0.35">
      <c r="A10" s="192" t="s">
        <v>16</v>
      </c>
      <c r="B10" s="193">
        <v>45542</v>
      </c>
      <c r="C10" s="214">
        <v>3144</v>
      </c>
      <c r="D10" s="195">
        <v>40</v>
      </c>
      <c r="E10" s="215">
        <v>0</v>
      </c>
      <c r="F10" s="215">
        <v>1</v>
      </c>
      <c r="G10" s="215" t="s">
        <v>798</v>
      </c>
      <c r="H10" s="216">
        <v>15</v>
      </c>
      <c r="I10" s="262"/>
      <c r="J10" s="262"/>
      <c r="K10" s="262"/>
      <c r="L10" s="262"/>
      <c r="M10" s="262"/>
      <c r="N10" s="262"/>
    </row>
    <row r="11" spans="1:14" ht="14.5" x14ac:dyDescent="0.35">
      <c r="A11" s="192" t="s">
        <v>18</v>
      </c>
      <c r="B11" s="193">
        <v>45543</v>
      </c>
      <c r="C11" s="217"/>
      <c r="D11" s="218"/>
      <c r="E11" s="219"/>
      <c r="F11" s="219"/>
      <c r="G11" s="219"/>
      <c r="H11" s="220"/>
      <c r="I11" s="262"/>
      <c r="J11" s="262"/>
      <c r="K11" s="262"/>
      <c r="L11" s="262"/>
      <c r="M11" s="262"/>
      <c r="N11" s="262"/>
    </row>
    <row r="12" spans="1:14" ht="14.5" x14ac:dyDescent="0.35">
      <c r="A12" s="192" t="s">
        <v>20</v>
      </c>
      <c r="B12" s="193">
        <v>45544</v>
      </c>
      <c r="C12" s="221">
        <v>3168</v>
      </c>
      <c r="D12" s="222">
        <v>94</v>
      </c>
      <c r="E12" s="223">
        <v>0</v>
      </c>
      <c r="F12" s="223">
        <v>5</v>
      </c>
      <c r="G12" s="223" t="s">
        <v>799</v>
      </c>
      <c r="H12" s="224">
        <v>19</v>
      </c>
      <c r="I12" s="262"/>
      <c r="J12" s="262"/>
      <c r="K12" s="262"/>
      <c r="L12" s="262"/>
      <c r="M12" s="262"/>
      <c r="N12" s="262"/>
    </row>
    <row r="13" spans="1:14" ht="14.5" x14ac:dyDescent="0.35">
      <c r="A13" s="192" t="s">
        <v>22</v>
      </c>
      <c r="B13" s="193">
        <v>45545</v>
      </c>
      <c r="C13" s="225">
        <v>2609</v>
      </c>
      <c r="D13" s="226">
        <v>173</v>
      </c>
      <c r="E13" s="227">
        <v>1</v>
      </c>
      <c r="F13" s="227">
        <v>4</v>
      </c>
      <c r="G13" s="227" t="s">
        <v>800</v>
      </c>
      <c r="H13" s="228">
        <v>22</v>
      </c>
      <c r="I13" s="262"/>
      <c r="J13" s="262"/>
      <c r="K13" s="262"/>
      <c r="L13" s="262"/>
      <c r="M13" s="262"/>
      <c r="N13" s="262"/>
    </row>
    <row r="14" spans="1:14" ht="14.5" x14ac:dyDescent="0.35">
      <c r="A14" s="192" t="s">
        <v>24</v>
      </c>
      <c r="B14" s="193">
        <v>45546</v>
      </c>
      <c r="C14" s="229">
        <v>2097</v>
      </c>
      <c r="D14" s="230">
        <v>155</v>
      </c>
      <c r="E14" s="231">
        <v>2</v>
      </c>
      <c r="F14" s="231">
        <v>5</v>
      </c>
      <c r="G14" s="231" t="s">
        <v>801</v>
      </c>
      <c r="H14" s="232">
        <v>19</v>
      </c>
      <c r="I14" s="262"/>
      <c r="J14" s="262"/>
      <c r="K14" s="262"/>
      <c r="L14" s="262"/>
      <c r="M14" s="262"/>
      <c r="N14" s="262"/>
    </row>
    <row r="15" spans="1:14" ht="14.5" x14ac:dyDescent="0.35">
      <c r="A15" s="192" t="s">
        <v>10</v>
      </c>
      <c r="B15" s="193">
        <v>45547</v>
      </c>
      <c r="C15" s="225">
        <v>585</v>
      </c>
      <c r="D15" s="226">
        <v>50</v>
      </c>
      <c r="E15" s="227">
        <v>0</v>
      </c>
      <c r="F15" s="227">
        <v>4</v>
      </c>
      <c r="G15" s="227"/>
      <c r="H15" s="228">
        <v>24</v>
      </c>
      <c r="I15" s="262"/>
      <c r="J15" s="262"/>
      <c r="K15" s="262"/>
      <c r="L15" s="262"/>
      <c r="M15" s="262"/>
      <c r="N15" s="262"/>
    </row>
    <row r="16" spans="1:14" ht="14.5" x14ac:dyDescent="0.35">
      <c r="A16" s="192" t="s">
        <v>13</v>
      </c>
      <c r="B16" s="193">
        <v>45548</v>
      </c>
      <c r="C16" s="233">
        <v>4054</v>
      </c>
      <c r="D16" s="234">
        <v>55</v>
      </c>
      <c r="E16" s="235">
        <v>0</v>
      </c>
      <c r="F16" s="235">
        <v>10</v>
      </c>
      <c r="G16" s="235"/>
      <c r="H16" s="236">
        <v>16</v>
      </c>
      <c r="I16" s="262"/>
      <c r="J16" s="262"/>
      <c r="K16" s="262"/>
      <c r="L16" s="262"/>
      <c r="M16" s="262"/>
      <c r="N16" s="262"/>
    </row>
    <row r="17" spans="1:14" ht="14.5" x14ac:dyDescent="0.35">
      <c r="A17" s="192" t="s">
        <v>16</v>
      </c>
      <c r="B17" s="193">
        <v>45549</v>
      </c>
      <c r="C17" s="225">
        <v>1896</v>
      </c>
      <c r="D17" s="226">
        <v>209</v>
      </c>
      <c r="E17" s="227">
        <v>0</v>
      </c>
      <c r="F17" s="227">
        <v>5</v>
      </c>
      <c r="G17" s="227"/>
      <c r="H17" s="228">
        <v>19</v>
      </c>
      <c r="I17" s="506"/>
      <c r="J17" s="262"/>
      <c r="K17" s="262"/>
      <c r="L17" s="262"/>
      <c r="M17" s="262"/>
      <c r="N17" s="262"/>
    </row>
    <row r="18" spans="1:14" ht="14.5" x14ac:dyDescent="0.35">
      <c r="A18" s="192" t="s">
        <v>18</v>
      </c>
      <c r="B18" s="193">
        <v>45550</v>
      </c>
      <c r="C18" s="233"/>
      <c r="D18" s="195"/>
      <c r="E18" s="215"/>
      <c r="F18" s="215"/>
      <c r="G18" s="215"/>
      <c r="H18" s="216"/>
      <c r="I18" s="262"/>
      <c r="J18" s="262"/>
      <c r="K18" s="262"/>
      <c r="L18" s="262"/>
      <c r="M18" s="262"/>
      <c r="N18" s="262"/>
    </row>
    <row r="19" spans="1:14" ht="14.5" x14ac:dyDescent="0.35">
      <c r="A19" s="192" t="s">
        <v>20</v>
      </c>
      <c r="B19" s="193">
        <v>45551</v>
      </c>
      <c r="C19" s="209">
        <v>2543</v>
      </c>
      <c r="D19" s="213">
        <v>25</v>
      </c>
      <c r="E19" s="203">
        <v>0</v>
      </c>
      <c r="F19" s="203">
        <v>3</v>
      </c>
      <c r="G19" s="203" t="s">
        <v>802</v>
      </c>
      <c r="H19" s="204">
        <v>28</v>
      </c>
      <c r="I19" s="247"/>
      <c r="J19" s="262"/>
      <c r="K19" s="262"/>
      <c r="L19" s="262"/>
      <c r="M19" s="262"/>
      <c r="N19" s="262"/>
    </row>
    <row r="20" spans="1:14" ht="14.5" x14ac:dyDescent="0.35">
      <c r="A20" s="192" t="s">
        <v>22</v>
      </c>
      <c r="B20" s="193">
        <v>45552</v>
      </c>
      <c r="C20" s="233">
        <v>1296</v>
      </c>
      <c r="D20" s="234">
        <v>98</v>
      </c>
      <c r="E20" s="215">
        <v>0</v>
      </c>
      <c r="F20" s="215">
        <v>3</v>
      </c>
      <c r="G20" s="235" t="s">
        <v>803</v>
      </c>
      <c r="H20" s="216">
        <v>19</v>
      </c>
      <c r="I20" s="262"/>
      <c r="J20" s="262"/>
      <c r="K20" s="262"/>
      <c r="L20" s="262"/>
      <c r="M20" s="262"/>
      <c r="N20" s="262"/>
    </row>
    <row r="21" spans="1:14" ht="14.5" x14ac:dyDescent="0.35">
      <c r="A21" s="192" t="s">
        <v>24</v>
      </c>
      <c r="B21" s="193">
        <v>45553</v>
      </c>
      <c r="C21" s="237">
        <v>3176</v>
      </c>
      <c r="D21" s="238">
        <v>25</v>
      </c>
      <c r="E21" s="239">
        <v>1</v>
      </c>
      <c r="F21" s="239">
        <v>6</v>
      </c>
      <c r="G21" s="239" t="s">
        <v>804</v>
      </c>
      <c r="H21" s="240">
        <v>24</v>
      </c>
      <c r="I21" s="507"/>
      <c r="J21" s="262"/>
      <c r="K21" s="262"/>
      <c r="L21" s="262"/>
      <c r="M21" s="262"/>
      <c r="N21" s="262"/>
    </row>
    <row r="22" spans="1:14" ht="14.5" x14ac:dyDescent="0.35">
      <c r="A22" s="192" t="s">
        <v>10</v>
      </c>
      <c r="B22" s="193">
        <v>45554</v>
      </c>
      <c r="C22" s="214">
        <v>2086</v>
      </c>
      <c r="D22" s="195">
        <v>150</v>
      </c>
      <c r="E22" s="215">
        <v>0</v>
      </c>
      <c r="F22" s="215">
        <v>1</v>
      </c>
      <c r="G22" s="215" t="s">
        <v>805</v>
      </c>
      <c r="H22" s="216">
        <v>22</v>
      </c>
      <c r="I22" s="247"/>
      <c r="J22" s="262"/>
      <c r="K22" s="262"/>
      <c r="L22" s="262"/>
      <c r="M22" s="262"/>
      <c r="N22" s="262"/>
    </row>
    <row r="23" spans="1:14" ht="14.5" x14ac:dyDescent="0.35">
      <c r="A23" s="192" t="s">
        <v>13</v>
      </c>
      <c r="B23" s="193">
        <v>45555</v>
      </c>
      <c r="C23" s="237">
        <v>3857</v>
      </c>
      <c r="D23" s="238">
        <v>154</v>
      </c>
      <c r="E23" s="239">
        <v>0</v>
      </c>
      <c r="F23" s="239">
        <v>13</v>
      </c>
      <c r="G23" s="215" t="s">
        <v>806</v>
      </c>
      <c r="H23" s="240">
        <v>27</v>
      </c>
      <c r="I23" s="507"/>
      <c r="J23" s="262"/>
      <c r="K23" s="262"/>
      <c r="L23" s="262"/>
      <c r="M23" s="262"/>
      <c r="N23" s="262"/>
    </row>
    <row r="24" spans="1:14" ht="14.5" x14ac:dyDescent="0.35">
      <c r="A24" s="192" t="s">
        <v>16</v>
      </c>
      <c r="B24" s="193">
        <v>45556</v>
      </c>
      <c r="C24" s="205">
        <v>2724</v>
      </c>
      <c r="D24" s="206">
        <v>130</v>
      </c>
      <c r="E24" s="207">
        <v>0</v>
      </c>
      <c r="F24" s="207">
        <v>2</v>
      </c>
      <c r="G24" s="207" t="s">
        <v>807</v>
      </c>
      <c r="H24" s="208">
        <v>19</v>
      </c>
      <c r="I24" s="507"/>
      <c r="J24" s="262"/>
      <c r="K24" s="262"/>
      <c r="L24" s="262"/>
      <c r="M24" s="262"/>
      <c r="N24" s="262"/>
    </row>
    <row r="25" spans="1:14" ht="14.5" x14ac:dyDescent="0.35">
      <c r="A25" s="192" t="s">
        <v>18</v>
      </c>
      <c r="B25" s="193">
        <v>45557</v>
      </c>
      <c r="C25" s="209"/>
      <c r="D25" s="210"/>
      <c r="E25" s="211"/>
      <c r="F25" s="211"/>
      <c r="G25" s="211"/>
      <c r="H25" s="241"/>
      <c r="I25" s="262"/>
      <c r="J25" s="262"/>
      <c r="K25" s="262"/>
      <c r="L25" s="262"/>
      <c r="M25" s="262"/>
      <c r="N25" s="262"/>
    </row>
    <row r="26" spans="1:14" ht="14.5" x14ac:dyDescent="0.35">
      <c r="A26" s="192" t="s">
        <v>20</v>
      </c>
      <c r="B26" s="193">
        <v>45558</v>
      </c>
      <c r="C26" s="233">
        <v>1857</v>
      </c>
      <c r="D26" s="234">
        <v>168</v>
      </c>
      <c r="E26" s="235">
        <v>0</v>
      </c>
      <c r="F26" s="235">
        <v>6</v>
      </c>
      <c r="G26" s="235" t="s">
        <v>808</v>
      </c>
      <c r="H26" s="236">
        <v>31</v>
      </c>
      <c r="I26" s="262"/>
      <c r="J26" s="262"/>
      <c r="K26" s="262"/>
      <c r="L26" s="262"/>
      <c r="M26" s="262"/>
      <c r="N26" s="262"/>
    </row>
    <row r="27" spans="1:14" ht="14.5" x14ac:dyDescent="0.35">
      <c r="A27" s="192" t="s">
        <v>22</v>
      </c>
      <c r="B27" s="193">
        <v>45559</v>
      </c>
      <c r="C27" s="237">
        <v>3971</v>
      </c>
      <c r="D27" s="238">
        <v>133</v>
      </c>
      <c r="E27" s="239">
        <v>1</v>
      </c>
      <c r="F27" s="239">
        <v>7</v>
      </c>
      <c r="G27" s="239" t="s">
        <v>809</v>
      </c>
      <c r="H27" s="240">
        <v>23</v>
      </c>
      <c r="I27" s="507"/>
      <c r="J27" s="262"/>
      <c r="K27" s="262"/>
      <c r="L27" s="262"/>
      <c r="M27" s="262"/>
      <c r="N27" s="262"/>
    </row>
    <row r="28" spans="1:14" ht="14.5" x14ac:dyDescent="0.35">
      <c r="A28" s="192" t="s">
        <v>24</v>
      </c>
      <c r="B28" s="193">
        <v>45560</v>
      </c>
      <c r="C28" s="233">
        <v>3732</v>
      </c>
      <c r="D28" s="234">
        <v>140</v>
      </c>
      <c r="E28" s="235">
        <v>0</v>
      </c>
      <c r="F28" s="235">
        <v>4</v>
      </c>
      <c r="G28" s="235" t="s">
        <v>810</v>
      </c>
      <c r="H28" s="236">
        <v>18</v>
      </c>
      <c r="I28" s="262"/>
      <c r="J28" s="262"/>
      <c r="K28" s="262"/>
      <c r="L28" s="262"/>
      <c r="M28" s="262"/>
      <c r="N28" s="262"/>
    </row>
    <row r="29" spans="1:14" ht="14.5" x14ac:dyDescent="0.35">
      <c r="A29" s="192" t="s">
        <v>10</v>
      </c>
      <c r="B29" s="193">
        <v>45561</v>
      </c>
      <c r="C29" s="209">
        <v>2867</v>
      </c>
      <c r="D29" s="242">
        <v>25</v>
      </c>
      <c r="E29" s="243">
        <v>0</v>
      </c>
      <c r="F29" s="244">
        <v>7</v>
      </c>
      <c r="G29" s="211" t="s">
        <v>811</v>
      </c>
      <c r="H29" s="241">
        <v>22</v>
      </c>
      <c r="I29" s="262"/>
      <c r="J29" s="262"/>
      <c r="K29" s="262"/>
      <c r="L29" s="262"/>
      <c r="M29" s="262"/>
      <c r="N29" s="262"/>
    </row>
    <row r="30" spans="1:14" ht="14.5" x14ac:dyDescent="0.35">
      <c r="A30" s="192" t="s">
        <v>13</v>
      </c>
      <c r="B30" s="193">
        <v>45562</v>
      </c>
      <c r="C30" s="214">
        <v>1194</v>
      </c>
      <c r="D30" s="245">
        <v>54</v>
      </c>
      <c r="E30" s="246">
        <v>0</v>
      </c>
      <c r="F30" s="247">
        <v>4</v>
      </c>
      <c r="G30" s="246" t="s">
        <v>812</v>
      </c>
      <c r="H30" s="248">
        <v>13</v>
      </c>
      <c r="I30" s="247"/>
      <c r="J30" s="262"/>
      <c r="K30" s="262"/>
      <c r="L30" s="508"/>
      <c r="M30" s="262"/>
      <c r="N30" s="262"/>
    </row>
    <row r="31" spans="1:14" ht="14.5" x14ac:dyDescent="0.35">
      <c r="A31" s="192" t="s">
        <v>16</v>
      </c>
      <c r="B31" s="193">
        <v>45563</v>
      </c>
      <c r="C31" s="214">
        <v>1950</v>
      </c>
      <c r="D31" s="249">
        <v>65</v>
      </c>
      <c r="E31" s="246">
        <v>0</v>
      </c>
      <c r="F31" s="247">
        <v>2</v>
      </c>
      <c r="G31" s="250" t="s">
        <v>813</v>
      </c>
      <c r="H31" s="215">
        <v>15</v>
      </c>
      <c r="I31" s="247"/>
      <c r="J31" s="262"/>
      <c r="K31" s="262"/>
      <c r="L31" s="508"/>
      <c r="M31" s="262"/>
      <c r="N31" s="262"/>
    </row>
    <row r="32" spans="1:14" ht="14.5" x14ac:dyDescent="0.35">
      <c r="A32" s="192" t="s">
        <v>18</v>
      </c>
      <c r="B32" s="193">
        <v>45564</v>
      </c>
      <c r="C32" s="214"/>
      <c r="D32" s="249"/>
      <c r="E32" s="246"/>
      <c r="F32" s="247"/>
      <c r="G32" s="250"/>
      <c r="H32" s="215"/>
      <c r="I32" s="247"/>
      <c r="J32" s="262"/>
      <c r="K32" s="262"/>
      <c r="L32" s="508"/>
      <c r="M32" s="262"/>
      <c r="N32" s="262"/>
    </row>
    <row r="33" spans="1:14" ht="14.5" x14ac:dyDescent="0.35">
      <c r="A33" s="192" t="s">
        <v>20</v>
      </c>
      <c r="B33" s="193">
        <v>45565</v>
      </c>
      <c r="C33" s="252">
        <v>1884</v>
      </c>
      <c r="D33" s="253">
        <v>25</v>
      </c>
      <c r="E33" s="246">
        <v>0</v>
      </c>
      <c r="F33" s="254">
        <v>2</v>
      </c>
      <c r="G33" s="250" t="s">
        <v>814</v>
      </c>
      <c r="H33" s="215">
        <v>15</v>
      </c>
      <c r="I33" s="262"/>
      <c r="J33" s="262"/>
      <c r="K33" s="262"/>
      <c r="L33" s="262"/>
      <c r="M33" s="262"/>
      <c r="N33" s="262"/>
    </row>
    <row r="34" spans="1:14" ht="14.5" x14ac:dyDescent="0.35">
      <c r="A34" s="192"/>
      <c r="B34" s="193"/>
      <c r="C34" s="255"/>
      <c r="D34" s="255"/>
      <c r="E34" s="198"/>
      <c r="F34" s="198"/>
      <c r="G34" s="198" t="s">
        <v>696</v>
      </c>
      <c r="H34" s="198"/>
      <c r="I34" s="247"/>
      <c r="J34" s="262"/>
      <c r="K34" s="262"/>
      <c r="L34" s="508"/>
      <c r="M34" s="262"/>
      <c r="N34" s="262"/>
    </row>
    <row r="35" spans="1:14" thickBot="1" x14ac:dyDescent="0.4">
      <c r="A35" s="257"/>
      <c r="B35" s="257"/>
      <c r="C35" s="258">
        <f t="shared" ref="C35:H35" si="0">SUM(C4:C34)</f>
        <v>62987</v>
      </c>
      <c r="D35" s="259">
        <f t="shared" si="0"/>
        <v>2327</v>
      </c>
      <c r="E35" s="260">
        <f t="shared" si="0"/>
        <v>5</v>
      </c>
      <c r="F35" s="260">
        <f t="shared" si="0"/>
        <v>116</v>
      </c>
      <c r="G35" s="260">
        <f t="shared" si="0"/>
        <v>0</v>
      </c>
      <c r="H35" s="261">
        <f t="shared" si="0"/>
        <v>498</v>
      </c>
      <c r="I35" s="477"/>
      <c r="J35" s="262"/>
      <c r="K35" s="262"/>
      <c r="L35" s="262"/>
      <c r="M35" s="262"/>
      <c r="N35" s="262"/>
    </row>
    <row r="36" spans="1:14" ht="14.5" x14ac:dyDescent="0.35">
      <c r="A36" s="262"/>
      <c r="B36" s="474"/>
      <c r="C36" s="509"/>
      <c r="D36" s="510"/>
      <c r="E36" s="475"/>
      <c r="F36" s="257"/>
      <c r="G36" s="262"/>
      <c r="H36" s="262"/>
      <c r="I36" s="262"/>
      <c r="J36" s="262"/>
      <c r="K36" s="262"/>
      <c r="L36" s="262"/>
      <c r="M36" s="262"/>
    </row>
    <row r="37" spans="1:14" ht="14.5" x14ac:dyDescent="0.35">
      <c r="A37" s="262"/>
      <c r="B37" s="474"/>
      <c r="C37" s="508"/>
      <c r="D37" s="508"/>
      <c r="E37" s="475"/>
      <c r="F37" s="511"/>
      <c r="G37" s="262"/>
      <c r="H37" s="262"/>
      <c r="I37" s="262"/>
      <c r="J37" s="262"/>
      <c r="K37" s="262"/>
      <c r="L37" s="262"/>
      <c r="M37" s="262"/>
    </row>
    <row r="38" spans="1:14" ht="14.5" x14ac:dyDescent="0.35">
      <c r="A38" s="262"/>
      <c r="B38" s="474"/>
      <c r="C38" s="475"/>
      <c r="D38" s="508"/>
      <c r="E38" s="475"/>
      <c r="F38" s="511"/>
      <c r="G38" s="262"/>
      <c r="H38" s="262"/>
      <c r="I38" s="262"/>
      <c r="J38" s="262"/>
      <c r="K38" s="262"/>
      <c r="L38" s="262"/>
      <c r="M38" s="262"/>
    </row>
    <row r="39" spans="1:14" ht="14.5" x14ac:dyDescent="0.35">
      <c r="A39" s="262"/>
      <c r="B39" s="474"/>
      <c r="C39" s="508"/>
      <c r="D39" s="508"/>
      <c r="E39" s="508"/>
      <c r="F39" s="262"/>
      <c r="G39" s="262"/>
      <c r="H39" s="262"/>
      <c r="I39" s="262"/>
      <c r="J39" s="262"/>
      <c r="K39" s="262"/>
      <c r="L39" s="262"/>
      <c r="M39" s="262"/>
    </row>
    <row r="40" spans="1:14" ht="19" thickBot="1" x14ac:dyDescent="0.5">
      <c r="A40" s="262"/>
      <c r="B40" s="474"/>
      <c r="C40" s="508"/>
      <c r="D40" s="512"/>
      <c r="E40" s="508"/>
      <c r="F40" s="262"/>
      <c r="G40" s="262"/>
      <c r="H40" s="262"/>
      <c r="I40" s="262"/>
      <c r="J40" s="262"/>
      <c r="K40" s="262"/>
      <c r="L40" s="262"/>
      <c r="M40" s="262"/>
    </row>
    <row r="41" spans="1:14" ht="15.65" customHeight="1" x14ac:dyDescent="0.4">
      <c r="A41" s="348"/>
      <c r="B41" s="931" t="s">
        <v>37</v>
      </c>
      <c r="C41" s="935" t="s">
        <v>0</v>
      </c>
      <c r="D41" s="298" t="s">
        <v>2</v>
      </c>
      <c r="E41" s="184" t="s">
        <v>3</v>
      </c>
      <c r="F41" s="185" t="s">
        <v>143</v>
      </c>
      <c r="G41" s="186" t="s">
        <v>6</v>
      </c>
      <c r="H41" s="187" t="s">
        <v>7</v>
      </c>
      <c r="I41" s="349"/>
      <c r="J41" s="349"/>
      <c r="M41" s="349"/>
      <c r="N41" s="349"/>
    </row>
    <row r="42" spans="1:14" ht="29.25" customHeight="1" x14ac:dyDescent="0.35">
      <c r="A42" s="497"/>
      <c r="B42" s="937"/>
      <c r="C42" s="936"/>
      <c r="D42" s="299" t="s">
        <v>0</v>
      </c>
      <c r="E42" s="188" t="s">
        <v>0</v>
      </c>
      <c r="F42" s="499" t="s">
        <v>0</v>
      </c>
      <c r="G42" s="500" t="s">
        <v>8</v>
      </c>
      <c r="H42" s="501" t="s">
        <v>9</v>
      </c>
      <c r="I42" s="262"/>
      <c r="J42" s="262"/>
      <c r="M42" s="262"/>
      <c r="N42" s="262"/>
    </row>
    <row r="43" spans="1:14" ht="14.5" x14ac:dyDescent="0.35">
      <c r="A43" s="192" t="s">
        <v>18</v>
      </c>
      <c r="B43" s="193">
        <v>45536</v>
      </c>
      <c r="C43" s="194"/>
      <c r="D43" s="195"/>
      <c r="E43" s="196"/>
      <c r="F43" s="197"/>
      <c r="G43" s="215"/>
      <c r="H43" s="502"/>
      <c r="I43" s="262"/>
      <c r="J43" s="262"/>
      <c r="K43" s="923" t="s">
        <v>12</v>
      </c>
      <c r="L43" s="923"/>
      <c r="M43" s="262"/>
      <c r="N43" s="262"/>
    </row>
    <row r="44" spans="1:14" thickBot="1" x14ac:dyDescent="0.4">
      <c r="A44" s="192" t="s">
        <v>20</v>
      </c>
      <c r="B44" s="193">
        <v>45537</v>
      </c>
      <c r="C44" s="212">
        <v>2723</v>
      </c>
      <c r="D44" s="213">
        <v>240</v>
      </c>
      <c r="E44" s="203">
        <v>0</v>
      </c>
      <c r="F44" s="203">
        <v>5</v>
      </c>
      <c r="G44" s="556" t="s">
        <v>815</v>
      </c>
      <c r="H44" s="204">
        <v>18</v>
      </c>
      <c r="I44" s="262"/>
      <c r="J44" s="262"/>
      <c r="K44" s="513" t="s">
        <v>15</v>
      </c>
      <c r="L44" s="409">
        <v>54000</v>
      </c>
      <c r="M44" s="262"/>
      <c r="N44" s="262"/>
    </row>
    <row r="45" spans="1:14" ht="14.5" x14ac:dyDescent="0.35">
      <c r="A45" s="192" t="s">
        <v>22</v>
      </c>
      <c r="B45" s="193">
        <v>45538</v>
      </c>
      <c r="C45" s="205">
        <v>1712</v>
      </c>
      <c r="D45" s="206">
        <v>25</v>
      </c>
      <c r="E45" s="207">
        <v>0</v>
      </c>
      <c r="F45" s="207">
        <v>6</v>
      </c>
      <c r="G45" s="207" t="s">
        <v>377</v>
      </c>
      <c r="H45" s="208">
        <v>13</v>
      </c>
      <c r="I45" s="262"/>
      <c r="J45" s="514"/>
      <c r="K45" s="504" t="s">
        <v>17</v>
      </c>
      <c r="L45" s="411">
        <v>2600</v>
      </c>
      <c r="M45" s="262"/>
      <c r="N45" s="262"/>
    </row>
    <row r="46" spans="1:14" ht="14.5" x14ac:dyDescent="0.35">
      <c r="A46" s="192" t="s">
        <v>24</v>
      </c>
      <c r="B46" s="193">
        <v>45539</v>
      </c>
      <c r="C46" s="209">
        <v>1597</v>
      </c>
      <c r="D46" s="210">
        <v>50</v>
      </c>
      <c r="E46" s="211">
        <v>0</v>
      </c>
      <c r="F46" s="211">
        <v>0</v>
      </c>
      <c r="G46" s="211" t="s">
        <v>816</v>
      </c>
      <c r="H46" s="241">
        <v>13</v>
      </c>
      <c r="I46" s="262"/>
      <c r="J46" s="262"/>
      <c r="K46" s="515" t="s">
        <v>3</v>
      </c>
      <c r="L46" s="413">
        <v>15</v>
      </c>
      <c r="M46" s="262"/>
      <c r="N46" s="262"/>
    </row>
    <row r="47" spans="1:14" ht="14.5" x14ac:dyDescent="0.35">
      <c r="A47" s="192" t="s">
        <v>10</v>
      </c>
      <c r="B47" s="193">
        <v>45540</v>
      </c>
      <c r="C47" s="205">
        <v>3232</v>
      </c>
      <c r="D47" s="206">
        <v>0</v>
      </c>
      <c r="E47" s="207">
        <v>0</v>
      </c>
      <c r="F47" s="207">
        <v>0</v>
      </c>
      <c r="G47" s="207" t="s">
        <v>817</v>
      </c>
      <c r="H47" s="208">
        <v>17</v>
      </c>
      <c r="I47" s="262"/>
      <c r="J47" s="262"/>
      <c r="K47" s="262"/>
      <c r="L47" s="474"/>
      <c r="M47" s="262"/>
      <c r="N47" s="262"/>
    </row>
    <row r="48" spans="1:14" ht="14.5" x14ac:dyDescent="0.35">
      <c r="A48" s="192" t="s">
        <v>13</v>
      </c>
      <c r="B48" s="193">
        <v>45541</v>
      </c>
      <c r="C48" s="212">
        <v>2779</v>
      </c>
      <c r="D48" s="213">
        <v>130</v>
      </c>
      <c r="E48" s="203">
        <v>0</v>
      </c>
      <c r="F48" s="203">
        <v>3</v>
      </c>
      <c r="G48" s="207" t="s">
        <v>563</v>
      </c>
      <c r="H48" s="204">
        <v>16</v>
      </c>
      <c r="I48" s="262"/>
      <c r="J48" s="262"/>
      <c r="K48" s="262"/>
      <c r="L48" s="474"/>
      <c r="M48" s="262"/>
      <c r="N48" s="262"/>
    </row>
    <row r="49" spans="1:14" ht="14.5" x14ac:dyDescent="0.35">
      <c r="A49" s="192" t="s">
        <v>16</v>
      </c>
      <c r="B49" s="193">
        <v>45542</v>
      </c>
      <c r="C49" s="214">
        <v>1748</v>
      </c>
      <c r="D49" s="195">
        <v>115</v>
      </c>
      <c r="E49" s="215">
        <v>0</v>
      </c>
      <c r="F49" s="215">
        <v>6</v>
      </c>
      <c r="G49" s="215" t="s">
        <v>818</v>
      </c>
      <c r="H49" s="216">
        <v>8</v>
      </c>
      <c r="I49" s="262"/>
      <c r="J49" s="262"/>
      <c r="K49" s="262"/>
      <c r="L49" s="262"/>
      <c r="M49" s="262"/>
      <c r="N49" s="262"/>
    </row>
    <row r="50" spans="1:14" ht="14.5" x14ac:dyDescent="0.35">
      <c r="A50" s="192" t="s">
        <v>18</v>
      </c>
      <c r="B50" s="193">
        <v>45543</v>
      </c>
      <c r="C50" s="217"/>
      <c r="D50" s="218"/>
      <c r="E50" s="219"/>
      <c r="F50" s="219"/>
      <c r="G50" s="300"/>
      <c r="H50" s="220"/>
      <c r="I50" s="262"/>
      <c r="J50" s="262"/>
      <c r="K50" s="262"/>
      <c r="L50" s="262"/>
      <c r="M50" s="262"/>
      <c r="N50" s="262"/>
    </row>
    <row r="51" spans="1:14" ht="14.5" x14ac:dyDescent="0.35">
      <c r="A51" s="192" t="s">
        <v>20</v>
      </c>
      <c r="B51" s="193">
        <v>45544</v>
      </c>
      <c r="C51" s="221">
        <v>3162</v>
      </c>
      <c r="D51" s="222">
        <v>161</v>
      </c>
      <c r="E51" s="223">
        <v>3</v>
      </c>
      <c r="F51" s="223">
        <v>1</v>
      </c>
      <c r="G51" s="223" t="s">
        <v>819</v>
      </c>
      <c r="H51" s="224">
        <v>21</v>
      </c>
      <c r="I51" s="262"/>
      <c r="J51" s="262"/>
      <c r="K51" s="262"/>
      <c r="L51" s="262"/>
      <c r="M51" s="262"/>
      <c r="N51" s="262"/>
    </row>
    <row r="52" spans="1:14" ht="14.5" x14ac:dyDescent="0.35">
      <c r="A52" s="192" t="s">
        <v>22</v>
      </c>
      <c r="B52" s="193">
        <v>45545</v>
      </c>
      <c r="C52" s="225">
        <v>2062</v>
      </c>
      <c r="D52" s="226">
        <v>110</v>
      </c>
      <c r="E52" s="227">
        <v>0</v>
      </c>
      <c r="F52" s="227">
        <v>8</v>
      </c>
      <c r="G52" s="227" t="s">
        <v>820</v>
      </c>
      <c r="H52" s="228">
        <v>23</v>
      </c>
      <c r="I52" s="262"/>
      <c r="J52" s="262"/>
      <c r="K52" s="262"/>
      <c r="L52" s="262"/>
      <c r="M52" s="262"/>
      <c r="N52" s="262"/>
    </row>
    <row r="53" spans="1:14" ht="14.5" x14ac:dyDescent="0.35">
      <c r="A53" s="192" t="s">
        <v>24</v>
      </c>
      <c r="B53" s="193">
        <v>45546</v>
      </c>
      <c r="C53" s="229">
        <v>3616</v>
      </c>
      <c r="D53" s="230">
        <v>15</v>
      </c>
      <c r="E53" s="231">
        <v>0</v>
      </c>
      <c r="F53" s="231">
        <v>3</v>
      </c>
      <c r="G53" s="231"/>
      <c r="H53" s="232">
        <v>21</v>
      </c>
      <c r="I53" s="262"/>
      <c r="J53" s="262"/>
      <c r="K53" s="262"/>
      <c r="L53" s="262"/>
      <c r="M53" s="262"/>
      <c r="N53" s="262"/>
    </row>
    <row r="54" spans="1:14" ht="14.5" x14ac:dyDescent="0.35">
      <c r="A54" s="192" t="s">
        <v>10</v>
      </c>
      <c r="B54" s="193">
        <v>45547</v>
      </c>
      <c r="C54" s="225">
        <v>1562</v>
      </c>
      <c r="D54" s="226">
        <v>40</v>
      </c>
      <c r="E54" s="227">
        <v>0</v>
      </c>
      <c r="F54" s="227">
        <v>0</v>
      </c>
      <c r="G54" s="227"/>
      <c r="H54" s="228">
        <v>8</v>
      </c>
      <c r="I54" s="262"/>
      <c r="J54" s="262"/>
      <c r="K54" s="262"/>
      <c r="L54" s="262"/>
      <c r="M54" s="262"/>
      <c r="N54" s="262"/>
    </row>
    <row r="55" spans="1:14" ht="14.5" x14ac:dyDescent="0.35">
      <c r="A55" s="192" t="s">
        <v>13</v>
      </c>
      <c r="B55" s="193">
        <v>45548</v>
      </c>
      <c r="C55" s="233">
        <v>2230</v>
      </c>
      <c r="D55" s="234">
        <v>120</v>
      </c>
      <c r="E55" s="235">
        <v>0</v>
      </c>
      <c r="F55" s="235">
        <v>1</v>
      </c>
      <c r="G55" s="235"/>
      <c r="H55" s="236">
        <v>12</v>
      </c>
      <c r="I55" s="262" t="s">
        <v>821</v>
      </c>
      <c r="J55" s="262"/>
      <c r="K55" s="262"/>
      <c r="L55" s="262"/>
      <c r="M55" s="262"/>
      <c r="N55" s="262"/>
    </row>
    <row r="56" spans="1:14" ht="14.5" x14ac:dyDescent="0.35">
      <c r="A56" s="192" t="s">
        <v>16</v>
      </c>
      <c r="B56" s="193">
        <v>45549</v>
      </c>
      <c r="C56" s="225">
        <v>2792</v>
      </c>
      <c r="D56" s="226">
        <v>65</v>
      </c>
      <c r="E56" s="227">
        <v>3</v>
      </c>
      <c r="F56" s="227">
        <v>6</v>
      </c>
      <c r="G56" s="227"/>
      <c r="H56" s="228">
        <v>17</v>
      </c>
      <c r="I56" s="262"/>
      <c r="J56" s="262"/>
      <c r="K56" s="262"/>
      <c r="L56" s="262"/>
      <c r="M56" s="262"/>
      <c r="N56" s="262"/>
    </row>
    <row r="57" spans="1:14" ht="14.5" x14ac:dyDescent="0.35">
      <c r="A57" s="192" t="s">
        <v>18</v>
      </c>
      <c r="B57" s="193">
        <v>45550</v>
      </c>
      <c r="C57" s="233"/>
      <c r="D57" s="195"/>
      <c r="E57" s="215"/>
      <c r="F57" s="215"/>
      <c r="G57" s="215"/>
      <c r="H57" s="216"/>
      <c r="I57" s="262"/>
      <c r="J57" s="262"/>
      <c r="K57" s="262"/>
      <c r="L57" s="262"/>
      <c r="M57" s="262"/>
      <c r="N57" s="262"/>
    </row>
    <row r="58" spans="1:14" ht="14.5" x14ac:dyDescent="0.35">
      <c r="A58" s="192" t="s">
        <v>20</v>
      </c>
      <c r="B58" s="193">
        <v>45551</v>
      </c>
      <c r="C58" s="209">
        <v>1569</v>
      </c>
      <c r="D58" s="213">
        <v>60</v>
      </c>
      <c r="E58" s="203">
        <v>0</v>
      </c>
      <c r="F58" s="203">
        <v>5</v>
      </c>
      <c r="G58" s="203" t="s">
        <v>822</v>
      </c>
      <c r="H58" s="204">
        <v>9</v>
      </c>
      <c r="I58" s="262"/>
      <c r="J58" s="262"/>
      <c r="K58" s="262"/>
      <c r="L58" s="262"/>
      <c r="M58" s="262"/>
      <c r="N58" s="262"/>
    </row>
    <row r="59" spans="1:14" ht="14.5" x14ac:dyDescent="0.35">
      <c r="A59" s="192" t="s">
        <v>22</v>
      </c>
      <c r="B59" s="193">
        <v>45552</v>
      </c>
      <c r="C59" s="233">
        <v>1851</v>
      </c>
      <c r="D59" s="234">
        <v>103</v>
      </c>
      <c r="E59" s="215">
        <v>0</v>
      </c>
      <c r="F59" s="215">
        <v>6</v>
      </c>
      <c r="G59" s="235" t="s">
        <v>823</v>
      </c>
      <c r="H59" s="216">
        <v>11</v>
      </c>
      <c r="I59" s="262"/>
      <c r="J59" s="262"/>
      <c r="K59" s="262"/>
      <c r="L59" s="262"/>
      <c r="M59" s="262"/>
      <c r="N59" s="262"/>
    </row>
    <row r="60" spans="1:14" ht="14.5" x14ac:dyDescent="0.35">
      <c r="A60" s="192" t="s">
        <v>24</v>
      </c>
      <c r="B60" s="193">
        <v>45553</v>
      </c>
      <c r="C60" s="237">
        <v>1484</v>
      </c>
      <c r="D60" s="238">
        <v>25</v>
      </c>
      <c r="E60" s="239">
        <v>0</v>
      </c>
      <c r="F60" s="239">
        <v>0</v>
      </c>
      <c r="G60" s="239" t="s">
        <v>824</v>
      </c>
      <c r="H60" s="240">
        <v>12</v>
      </c>
      <c r="I60" s="262"/>
      <c r="J60" s="262"/>
      <c r="K60" s="262"/>
      <c r="L60" s="262"/>
      <c r="M60" s="262"/>
      <c r="N60" s="262"/>
    </row>
    <row r="61" spans="1:14" ht="14.5" x14ac:dyDescent="0.35">
      <c r="A61" s="192" t="s">
        <v>10</v>
      </c>
      <c r="B61" s="193">
        <v>45554</v>
      </c>
      <c r="C61" s="214">
        <v>2266</v>
      </c>
      <c r="D61" s="195">
        <v>25</v>
      </c>
      <c r="E61" s="215">
        <v>0</v>
      </c>
      <c r="F61" s="215">
        <v>1</v>
      </c>
      <c r="G61" s="215" t="s">
        <v>825</v>
      </c>
      <c r="H61" s="216">
        <v>20</v>
      </c>
      <c r="I61" s="262"/>
      <c r="J61" s="262"/>
      <c r="K61" s="262"/>
      <c r="L61" s="262"/>
      <c r="M61" s="262"/>
      <c r="N61" s="262"/>
    </row>
    <row r="62" spans="1:14" ht="14.5" x14ac:dyDescent="0.35">
      <c r="A62" s="192" t="s">
        <v>13</v>
      </c>
      <c r="B62" s="193">
        <v>45555</v>
      </c>
      <c r="C62" s="237">
        <v>2216</v>
      </c>
      <c r="D62" s="238">
        <v>0</v>
      </c>
      <c r="E62" s="239">
        <v>0</v>
      </c>
      <c r="F62" s="239">
        <v>1</v>
      </c>
      <c r="G62" s="215" t="s">
        <v>826</v>
      </c>
      <c r="H62" s="240">
        <v>15</v>
      </c>
      <c r="I62" s="262"/>
      <c r="J62" s="262"/>
      <c r="K62" s="262"/>
      <c r="L62" s="262"/>
      <c r="M62" s="262"/>
      <c r="N62" s="262"/>
    </row>
    <row r="63" spans="1:14" ht="14.5" x14ac:dyDescent="0.35">
      <c r="A63" s="192" t="s">
        <v>16</v>
      </c>
      <c r="B63" s="193">
        <v>45556</v>
      </c>
      <c r="C63" s="205">
        <v>3929</v>
      </c>
      <c r="D63" s="206">
        <v>285</v>
      </c>
      <c r="E63" s="207">
        <v>1</v>
      </c>
      <c r="F63" s="207">
        <v>8</v>
      </c>
      <c r="G63" s="207" t="s">
        <v>827</v>
      </c>
      <c r="H63" s="208">
        <v>26</v>
      </c>
      <c r="I63" s="262"/>
      <c r="J63" s="262"/>
      <c r="K63" s="262"/>
      <c r="L63" s="262"/>
      <c r="M63" s="262"/>
      <c r="N63" s="262"/>
    </row>
    <row r="64" spans="1:14" ht="14.5" x14ac:dyDescent="0.35">
      <c r="A64" s="192" t="s">
        <v>18</v>
      </c>
      <c r="B64" s="193">
        <v>45557</v>
      </c>
      <c r="C64" s="209"/>
      <c r="D64" s="210"/>
      <c r="E64" s="211"/>
      <c r="F64" s="211"/>
      <c r="G64" s="211"/>
      <c r="H64" s="241"/>
      <c r="I64" s="262"/>
      <c r="J64" s="262"/>
      <c r="K64" s="262"/>
      <c r="L64" s="262"/>
      <c r="M64" s="262"/>
      <c r="N64" s="262"/>
    </row>
    <row r="65" spans="1:14" ht="14.5" x14ac:dyDescent="0.35">
      <c r="A65" s="192" t="s">
        <v>20</v>
      </c>
      <c r="B65" s="193">
        <v>45558</v>
      </c>
      <c r="C65" s="233">
        <v>2866</v>
      </c>
      <c r="D65" s="234">
        <v>40</v>
      </c>
      <c r="E65" s="235">
        <v>0</v>
      </c>
      <c r="F65" s="235">
        <v>1</v>
      </c>
      <c r="G65" s="467" t="s">
        <v>828</v>
      </c>
      <c r="H65" s="236">
        <v>23</v>
      </c>
      <c r="I65" s="262"/>
      <c r="J65" s="262"/>
      <c r="K65" s="262"/>
      <c r="L65" s="262"/>
      <c r="M65" s="262"/>
      <c r="N65" s="262"/>
    </row>
    <row r="66" spans="1:14" ht="14.5" x14ac:dyDescent="0.35">
      <c r="A66" s="192" t="s">
        <v>22</v>
      </c>
      <c r="B66" s="193">
        <v>45559</v>
      </c>
      <c r="C66" s="237">
        <v>1971</v>
      </c>
      <c r="D66" s="238">
        <v>25</v>
      </c>
      <c r="E66" s="239">
        <v>0</v>
      </c>
      <c r="F66" s="239">
        <v>0</v>
      </c>
      <c r="G66" s="239" t="s">
        <v>829</v>
      </c>
      <c r="H66" s="240">
        <v>14</v>
      </c>
      <c r="I66" s="262"/>
      <c r="J66" s="262"/>
      <c r="K66" s="262"/>
      <c r="L66" s="262"/>
      <c r="M66" s="262"/>
      <c r="N66" s="262"/>
    </row>
    <row r="67" spans="1:14" ht="14.5" x14ac:dyDescent="0.35">
      <c r="A67" s="192" t="s">
        <v>24</v>
      </c>
      <c r="B67" s="193">
        <v>45560</v>
      </c>
      <c r="C67" s="233">
        <v>1701</v>
      </c>
      <c r="D67" s="234">
        <v>25</v>
      </c>
      <c r="E67" s="235">
        <v>0</v>
      </c>
      <c r="F67" s="235">
        <v>0</v>
      </c>
      <c r="G67" s="235" t="s">
        <v>830</v>
      </c>
      <c r="H67" s="236">
        <v>10</v>
      </c>
      <c r="I67" s="262"/>
      <c r="J67" s="262"/>
      <c r="K67" s="262"/>
      <c r="L67" s="262"/>
      <c r="M67" s="262"/>
      <c r="N67" s="262"/>
    </row>
    <row r="68" spans="1:14" ht="14.5" x14ac:dyDescent="0.35">
      <c r="A68" s="192" t="s">
        <v>10</v>
      </c>
      <c r="B68" s="193">
        <v>45561</v>
      </c>
      <c r="C68" s="209">
        <v>2090</v>
      </c>
      <c r="D68" s="210">
        <v>50</v>
      </c>
      <c r="E68" s="211">
        <v>0</v>
      </c>
      <c r="F68" s="211">
        <v>0</v>
      </c>
      <c r="G68" s="211" t="s">
        <v>831</v>
      </c>
      <c r="H68" s="241">
        <v>15</v>
      </c>
      <c r="I68" s="262"/>
      <c r="J68" s="262"/>
      <c r="K68" s="262"/>
      <c r="L68" s="262"/>
      <c r="M68" s="262"/>
      <c r="N68" s="262"/>
    </row>
    <row r="69" spans="1:14" ht="14.5" x14ac:dyDescent="0.35">
      <c r="A69" s="192" t="s">
        <v>13</v>
      </c>
      <c r="B69" s="193">
        <v>45562</v>
      </c>
      <c r="C69" s="214">
        <v>3497</v>
      </c>
      <c r="D69" s="195">
        <v>80</v>
      </c>
      <c r="E69" s="215">
        <v>0</v>
      </c>
      <c r="F69" s="215">
        <v>3</v>
      </c>
      <c r="G69" s="215" t="s">
        <v>832</v>
      </c>
      <c r="H69" s="216">
        <v>10</v>
      </c>
      <c r="I69" s="262"/>
      <c r="J69" s="262"/>
      <c r="K69" s="262"/>
      <c r="L69" s="262"/>
      <c r="M69" s="262"/>
      <c r="N69" s="262"/>
    </row>
    <row r="70" spans="1:14" ht="14.5" x14ac:dyDescent="0.35">
      <c r="A70" s="192" t="s">
        <v>16</v>
      </c>
      <c r="B70" s="193">
        <v>45563</v>
      </c>
      <c r="C70" s="212">
        <v>3123</v>
      </c>
      <c r="D70" s="213">
        <v>0</v>
      </c>
      <c r="E70" s="203">
        <v>0</v>
      </c>
      <c r="F70" s="203">
        <v>1</v>
      </c>
      <c r="G70" s="203" t="s">
        <v>833</v>
      </c>
      <c r="H70" s="204">
        <v>8</v>
      </c>
      <c r="I70" s="262"/>
      <c r="J70" s="262"/>
      <c r="K70" s="262"/>
      <c r="L70" s="262"/>
      <c r="M70" s="262"/>
      <c r="N70" s="262"/>
    </row>
    <row r="71" spans="1:14" ht="14.5" x14ac:dyDescent="0.35">
      <c r="A71" s="192" t="s">
        <v>18</v>
      </c>
      <c r="B71" s="193">
        <v>45564</v>
      </c>
      <c r="C71" s="233"/>
      <c r="D71" s="263"/>
      <c r="E71" s="215"/>
      <c r="F71" s="215"/>
      <c r="G71" s="215"/>
      <c r="H71" s="216"/>
      <c r="I71" s="262"/>
      <c r="J71" s="262"/>
      <c r="K71" s="262"/>
      <c r="L71" s="262"/>
      <c r="M71" s="262"/>
      <c r="N71" s="262"/>
    </row>
    <row r="72" spans="1:14" ht="14.5" x14ac:dyDescent="0.35">
      <c r="A72" s="192" t="s">
        <v>20</v>
      </c>
      <c r="B72" s="193">
        <v>45565</v>
      </c>
      <c r="C72" s="212">
        <v>2450</v>
      </c>
      <c r="D72" s="213">
        <v>140</v>
      </c>
      <c r="E72" s="203">
        <v>1</v>
      </c>
      <c r="F72" s="203">
        <v>4</v>
      </c>
      <c r="G72" s="203" t="s">
        <v>834</v>
      </c>
      <c r="H72" s="204">
        <v>12</v>
      </c>
      <c r="I72" s="262"/>
      <c r="J72" s="262"/>
      <c r="K72" s="262"/>
      <c r="L72" s="262"/>
      <c r="M72" s="262"/>
      <c r="N72" s="262"/>
    </row>
    <row r="73" spans="1:14" thickBot="1" x14ac:dyDescent="0.4">
      <c r="A73" s="192"/>
      <c r="B73" s="193"/>
      <c r="C73" s="264"/>
      <c r="D73" s="265"/>
      <c r="E73" s="266"/>
      <c r="F73" s="266"/>
      <c r="G73" s="266" t="s">
        <v>723</v>
      </c>
      <c r="H73" s="267"/>
      <c r="I73" s="262"/>
      <c r="J73" s="262"/>
      <c r="K73" s="262"/>
      <c r="L73" s="262"/>
      <c r="M73" s="262"/>
      <c r="N73" s="262"/>
    </row>
    <row r="74" spans="1:14" thickBot="1" x14ac:dyDescent="0.4">
      <c r="A74" s="257"/>
      <c r="B74" s="268"/>
      <c r="C74" s="258">
        <f t="shared" ref="C74:H74" si="1">SUM(C43:C73)</f>
        <v>60228</v>
      </c>
      <c r="D74" s="259">
        <f t="shared" si="1"/>
        <v>1929</v>
      </c>
      <c r="E74" s="260">
        <f t="shared" si="1"/>
        <v>8</v>
      </c>
      <c r="F74" s="260">
        <f t="shared" si="1"/>
        <v>69</v>
      </c>
      <c r="G74" s="260">
        <f t="shared" si="1"/>
        <v>0</v>
      </c>
      <c r="H74" s="261">
        <f t="shared" si="1"/>
        <v>372</v>
      </c>
      <c r="I74" s="508"/>
      <c r="J74" s="508"/>
      <c r="K74" s="262"/>
      <c r="L74" s="262"/>
      <c r="M74" s="262"/>
      <c r="N74" s="262"/>
    </row>
    <row r="75" spans="1:14" ht="14.5" x14ac:dyDescent="0.35">
      <c r="A75" s="262"/>
      <c r="B75" s="474"/>
      <c r="C75" s="508"/>
      <c r="D75" s="262"/>
      <c r="E75" s="475"/>
      <c r="F75" s="511"/>
      <c r="G75" s="262"/>
      <c r="H75" s="262"/>
      <c r="I75" s="262"/>
      <c r="J75" s="262"/>
      <c r="K75" s="262"/>
      <c r="L75" s="262"/>
      <c r="M75" s="262"/>
    </row>
    <row r="76" spans="1:14" thickBot="1" x14ac:dyDescent="0.4">
      <c r="A76" s="262"/>
      <c r="B76" s="474"/>
      <c r="C76" s="508"/>
      <c r="D76" s="262"/>
      <c r="E76" s="508"/>
      <c r="F76" s="262"/>
      <c r="G76" s="262"/>
      <c r="H76" s="262"/>
      <c r="I76" s="262"/>
      <c r="J76" s="262"/>
      <c r="K76" s="262"/>
      <c r="L76" s="262"/>
      <c r="M76" s="262"/>
    </row>
    <row r="77" spans="1:14" ht="15.65" customHeight="1" x14ac:dyDescent="0.4">
      <c r="A77" s="348"/>
      <c r="B77" s="926" t="s">
        <v>53</v>
      </c>
      <c r="C77" s="935" t="s">
        <v>0</v>
      </c>
      <c r="D77" s="298" t="s">
        <v>2</v>
      </c>
      <c r="E77" s="184" t="s">
        <v>3</v>
      </c>
      <c r="F77" s="185" t="s">
        <v>143</v>
      </c>
      <c r="G77" s="186" t="s">
        <v>6</v>
      </c>
      <c r="H77" s="187" t="s">
        <v>7</v>
      </c>
      <c r="I77" s="349"/>
      <c r="J77" s="349"/>
      <c r="K77" s="349"/>
      <c r="L77" s="349"/>
      <c r="M77" s="349"/>
      <c r="N77" s="349"/>
    </row>
    <row r="78" spans="1:14" ht="29" x14ac:dyDescent="0.35">
      <c r="A78" s="497"/>
      <c r="B78" s="934"/>
      <c r="C78" s="936"/>
      <c r="D78" s="299" t="s">
        <v>0</v>
      </c>
      <c r="E78" s="188" t="s">
        <v>0</v>
      </c>
      <c r="F78" s="183" t="s">
        <v>0</v>
      </c>
      <c r="G78" s="500" t="s">
        <v>8</v>
      </c>
      <c r="H78" s="501" t="s">
        <v>9</v>
      </c>
      <c r="I78" s="262"/>
      <c r="J78" s="262"/>
      <c r="M78" s="262"/>
      <c r="N78" s="262"/>
    </row>
    <row r="79" spans="1:14" ht="14.5" x14ac:dyDescent="0.35">
      <c r="A79" s="192" t="s">
        <v>18</v>
      </c>
      <c r="B79" s="193">
        <v>45536</v>
      </c>
      <c r="C79" s="194"/>
      <c r="D79" s="195"/>
      <c r="E79" s="196"/>
      <c r="F79" s="516"/>
      <c r="G79" s="215"/>
      <c r="H79" s="502"/>
      <c r="I79" s="262"/>
      <c r="J79" s="262"/>
      <c r="K79" s="923" t="s">
        <v>12</v>
      </c>
      <c r="L79" s="923"/>
      <c r="M79" s="262"/>
      <c r="N79" s="262"/>
    </row>
    <row r="80" spans="1:14" ht="14.5" x14ac:dyDescent="0.35">
      <c r="A80" s="192" t="s">
        <v>20</v>
      </c>
      <c r="B80" s="193">
        <v>45537</v>
      </c>
      <c r="C80" s="212">
        <v>715</v>
      </c>
      <c r="D80" s="213">
        <v>29</v>
      </c>
      <c r="E80" s="203">
        <v>0</v>
      </c>
      <c r="F80" s="203">
        <v>0</v>
      </c>
      <c r="G80" s="203" t="s">
        <v>835</v>
      </c>
      <c r="H80" s="204">
        <v>18</v>
      </c>
      <c r="I80" s="262"/>
      <c r="J80" s="262"/>
      <c r="K80" s="513" t="s">
        <v>15</v>
      </c>
      <c r="L80" s="409">
        <v>54000</v>
      </c>
      <c r="M80" s="262"/>
      <c r="N80" s="262"/>
    </row>
    <row r="81" spans="1:14" ht="14.5" x14ac:dyDescent="0.35">
      <c r="A81" s="192" t="s">
        <v>22</v>
      </c>
      <c r="B81" s="193">
        <v>45538</v>
      </c>
      <c r="C81" s="205">
        <v>2857</v>
      </c>
      <c r="D81" s="206">
        <v>116</v>
      </c>
      <c r="E81" s="207">
        <v>0</v>
      </c>
      <c r="F81" s="207">
        <v>0</v>
      </c>
      <c r="G81" s="207" t="s">
        <v>836</v>
      </c>
      <c r="H81" s="208">
        <v>13</v>
      </c>
      <c r="I81" s="262"/>
      <c r="J81" s="262"/>
      <c r="K81" s="504" t="s">
        <v>17</v>
      </c>
      <c r="L81" s="411">
        <v>2400</v>
      </c>
      <c r="M81" s="262"/>
      <c r="N81" s="262"/>
    </row>
    <row r="82" spans="1:14" ht="14.5" x14ac:dyDescent="0.35">
      <c r="A82" s="192" t="s">
        <v>24</v>
      </c>
      <c r="B82" s="193">
        <v>45539</v>
      </c>
      <c r="C82" s="209">
        <v>2376</v>
      </c>
      <c r="D82" s="210">
        <v>116</v>
      </c>
      <c r="E82" s="211">
        <v>0</v>
      </c>
      <c r="F82" s="211">
        <v>1</v>
      </c>
      <c r="G82" s="211" t="s">
        <v>837</v>
      </c>
      <c r="H82" s="241">
        <v>11</v>
      </c>
      <c r="I82" s="262"/>
      <c r="J82" s="262"/>
      <c r="K82" s="515" t="s">
        <v>3</v>
      </c>
      <c r="L82" s="413">
        <v>10</v>
      </c>
      <c r="M82" s="262"/>
      <c r="N82" s="262"/>
    </row>
    <row r="83" spans="1:14" ht="14.5" x14ac:dyDescent="0.35">
      <c r="A83" s="192" t="s">
        <v>10</v>
      </c>
      <c r="B83" s="193">
        <v>45540</v>
      </c>
      <c r="C83" s="205">
        <v>3134</v>
      </c>
      <c r="D83" s="206">
        <v>58</v>
      </c>
      <c r="E83" s="207">
        <v>0</v>
      </c>
      <c r="F83" s="207">
        <v>9</v>
      </c>
      <c r="G83" s="207" t="s">
        <v>838</v>
      </c>
      <c r="H83" s="208">
        <v>14</v>
      </c>
      <c r="I83" s="262"/>
      <c r="J83" s="262"/>
      <c r="K83" s="262"/>
      <c r="L83" s="262"/>
      <c r="M83" s="262"/>
      <c r="N83" s="262"/>
    </row>
    <row r="84" spans="1:14" ht="14.5" x14ac:dyDescent="0.35">
      <c r="A84" s="192" t="s">
        <v>13</v>
      </c>
      <c r="B84" s="193">
        <v>45541</v>
      </c>
      <c r="C84" s="212">
        <v>1343</v>
      </c>
      <c r="D84" s="213">
        <v>145</v>
      </c>
      <c r="E84" s="203">
        <v>0</v>
      </c>
      <c r="F84" s="203">
        <v>0</v>
      </c>
      <c r="G84" s="203" t="s">
        <v>839</v>
      </c>
      <c r="H84" s="204">
        <v>11</v>
      </c>
      <c r="I84" s="262"/>
      <c r="J84" s="262"/>
      <c r="K84" s="262"/>
      <c r="L84" s="262"/>
      <c r="M84" s="262"/>
      <c r="N84" s="262"/>
    </row>
    <row r="85" spans="1:14" ht="14.5" x14ac:dyDescent="0.35">
      <c r="A85" s="192" t="s">
        <v>16</v>
      </c>
      <c r="B85" s="193">
        <v>45542</v>
      </c>
      <c r="C85" s="214">
        <v>3318</v>
      </c>
      <c r="D85" s="195">
        <v>29</v>
      </c>
      <c r="E85" s="215">
        <v>0</v>
      </c>
      <c r="F85" s="215">
        <v>5</v>
      </c>
      <c r="G85" s="215" t="s">
        <v>840</v>
      </c>
      <c r="H85" s="216">
        <v>22</v>
      </c>
      <c r="I85" s="262"/>
      <c r="J85" s="262"/>
      <c r="K85" s="262"/>
      <c r="L85" s="262"/>
      <c r="M85" s="262"/>
      <c r="N85" s="262"/>
    </row>
    <row r="86" spans="1:14" ht="14.5" x14ac:dyDescent="0.35">
      <c r="A86" s="192" t="s">
        <v>18</v>
      </c>
      <c r="B86" s="193">
        <v>45543</v>
      </c>
      <c r="C86" s="217"/>
      <c r="D86" s="218"/>
      <c r="E86" s="219"/>
      <c r="F86" s="219"/>
      <c r="G86" s="219"/>
      <c r="H86" s="220"/>
      <c r="I86" s="262"/>
      <c r="J86" s="262"/>
      <c r="K86" s="262"/>
      <c r="L86" s="262"/>
      <c r="M86" s="262"/>
      <c r="N86" s="262"/>
    </row>
    <row r="87" spans="1:14" ht="14.5" x14ac:dyDescent="0.35">
      <c r="A87" s="192" t="s">
        <v>20</v>
      </c>
      <c r="B87" s="193">
        <v>45544</v>
      </c>
      <c r="C87" s="221">
        <v>1596</v>
      </c>
      <c r="D87" s="222">
        <v>116</v>
      </c>
      <c r="E87" s="223">
        <v>0</v>
      </c>
      <c r="F87" s="223">
        <v>1</v>
      </c>
      <c r="G87" s="223" t="s">
        <v>841</v>
      </c>
      <c r="H87" s="224">
        <v>12</v>
      </c>
      <c r="I87" s="262"/>
      <c r="J87" s="262"/>
      <c r="K87" s="262"/>
      <c r="L87" s="262"/>
      <c r="M87" s="262"/>
      <c r="N87" s="262"/>
    </row>
    <row r="88" spans="1:14" ht="14.5" x14ac:dyDescent="0.35">
      <c r="A88" s="192" t="s">
        <v>22</v>
      </c>
      <c r="B88" s="193">
        <v>45545</v>
      </c>
      <c r="C88" s="225">
        <v>1793</v>
      </c>
      <c r="D88" s="226">
        <v>29</v>
      </c>
      <c r="E88" s="227">
        <v>1</v>
      </c>
      <c r="F88" s="227">
        <v>3</v>
      </c>
      <c r="G88" s="227" t="s">
        <v>842</v>
      </c>
      <c r="H88" s="228">
        <v>18</v>
      </c>
      <c r="I88" s="262"/>
      <c r="J88" s="262"/>
      <c r="K88" s="262"/>
      <c r="L88" s="262"/>
      <c r="M88" s="262"/>
      <c r="N88" s="262"/>
    </row>
    <row r="89" spans="1:14" ht="14.5" x14ac:dyDescent="0.35">
      <c r="A89" s="192" t="s">
        <v>24</v>
      </c>
      <c r="B89" s="193">
        <v>45546</v>
      </c>
      <c r="C89" s="229">
        <v>2119</v>
      </c>
      <c r="D89" s="230">
        <v>195</v>
      </c>
      <c r="E89" s="231">
        <v>2</v>
      </c>
      <c r="F89" s="231">
        <v>1</v>
      </c>
      <c r="G89" s="231" t="s">
        <v>843</v>
      </c>
      <c r="H89" s="232">
        <v>16</v>
      </c>
      <c r="I89" s="262"/>
      <c r="J89" s="262"/>
      <c r="K89" s="262"/>
      <c r="L89" s="262"/>
      <c r="M89" s="262"/>
      <c r="N89" s="262"/>
    </row>
    <row r="90" spans="1:14" ht="14.5" x14ac:dyDescent="0.35">
      <c r="A90" s="192" t="s">
        <v>10</v>
      </c>
      <c r="B90" s="193">
        <v>45547</v>
      </c>
      <c r="C90" s="225">
        <v>2394</v>
      </c>
      <c r="D90" s="226">
        <v>116</v>
      </c>
      <c r="E90" s="227">
        <v>1</v>
      </c>
      <c r="F90" s="227">
        <v>4</v>
      </c>
      <c r="G90" s="227"/>
      <c r="H90" s="228">
        <v>16</v>
      </c>
      <c r="I90" s="262"/>
      <c r="J90" s="262"/>
      <c r="K90" s="262"/>
      <c r="L90" s="262"/>
      <c r="M90" s="262"/>
      <c r="N90" s="262"/>
    </row>
    <row r="91" spans="1:14" ht="14.5" x14ac:dyDescent="0.35">
      <c r="A91" s="192" t="s">
        <v>13</v>
      </c>
      <c r="B91" s="193">
        <v>45548</v>
      </c>
      <c r="C91" s="233">
        <v>2412</v>
      </c>
      <c r="D91" s="234">
        <v>120</v>
      </c>
      <c r="E91" s="235">
        <v>0</v>
      </c>
      <c r="F91" s="235">
        <v>4</v>
      </c>
      <c r="G91" s="235"/>
      <c r="H91" s="236">
        <v>13</v>
      </c>
      <c r="I91" s="262"/>
      <c r="J91" s="262"/>
      <c r="K91" s="262"/>
      <c r="L91" s="262"/>
      <c r="M91" s="262"/>
      <c r="N91" s="262"/>
    </row>
    <row r="92" spans="1:14" ht="14.5" x14ac:dyDescent="0.35">
      <c r="A92" s="192" t="s">
        <v>16</v>
      </c>
      <c r="B92" s="193">
        <v>45549</v>
      </c>
      <c r="C92" s="225">
        <v>1797</v>
      </c>
      <c r="D92" s="226">
        <v>29</v>
      </c>
      <c r="E92" s="227">
        <v>0</v>
      </c>
      <c r="F92" s="227">
        <v>2</v>
      </c>
      <c r="G92" s="227"/>
      <c r="H92" s="228">
        <v>17</v>
      </c>
      <c r="I92" s="262"/>
      <c r="J92" s="262"/>
      <c r="K92" s="262"/>
      <c r="L92" s="262"/>
      <c r="M92" s="262"/>
      <c r="N92" s="262"/>
    </row>
    <row r="93" spans="1:14" ht="14.5" x14ac:dyDescent="0.35">
      <c r="A93" s="192" t="s">
        <v>18</v>
      </c>
      <c r="B93" s="193">
        <v>45550</v>
      </c>
      <c r="C93" s="233"/>
      <c r="D93" s="195"/>
      <c r="E93" s="215"/>
      <c r="F93" s="215"/>
      <c r="G93" s="215"/>
      <c r="H93" s="216"/>
      <c r="I93" s="262"/>
      <c r="J93" s="262"/>
      <c r="K93" s="262"/>
      <c r="L93" s="262"/>
      <c r="M93" s="262"/>
      <c r="N93" s="262"/>
    </row>
    <row r="94" spans="1:14" ht="14.5" x14ac:dyDescent="0.35">
      <c r="A94" s="192" t="s">
        <v>20</v>
      </c>
      <c r="B94" s="193">
        <v>45551</v>
      </c>
      <c r="C94" s="209">
        <v>2308</v>
      </c>
      <c r="D94" s="213">
        <v>58</v>
      </c>
      <c r="E94" s="203">
        <v>0</v>
      </c>
      <c r="F94" s="203">
        <v>3</v>
      </c>
      <c r="G94" s="203" t="s">
        <v>232</v>
      </c>
      <c r="H94" s="204">
        <v>18</v>
      </c>
      <c r="I94" s="262"/>
      <c r="J94" s="262"/>
      <c r="K94" s="262"/>
      <c r="L94" s="262"/>
      <c r="M94" s="262"/>
      <c r="N94" s="262"/>
    </row>
    <row r="95" spans="1:14" ht="14.5" x14ac:dyDescent="0.35">
      <c r="A95" s="192" t="s">
        <v>22</v>
      </c>
      <c r="B95" s="193">
        <v>45552</v>
      </c>
      <c r="C95" s="233">
        <v>2090</v>
      </c>
      <c r="D95" s="234">
        <v>58</v>
      </c>
      <c r="E95" s="215">
        <v>1</v>
      </c>
      <c r="F95" s="215">
        <v>2</v>
      </c>
      <c r="G95" s="235" t="s">
        <v>82</v>
      </c>
      <c r="H95" s="216">
        <v>16</v>
      </c>
      <c r="I95" s="262"/>
      <c r="J95" s="262"/>
      <c r="K95" s="262"/>
      <c r="L95" s="262"/>
      <c r="M95" s="262"/>
      <c r="N95" s="262"/>
    </row>
    <row r="96" spans="1:14" ht="14.5" x14ac:dyDescent="0.35">
      <c r="A96" s="192" t="s">
        <v>24</v>
      </c>
      <c r="B96" s="193">
        <v>45553</v>
      </c>
      <c r="C96" s="237">
        <v>1646</v>
      </c>
      <c r="D96" s="270">
        <v>87</v>
      </c>
      <c r="E96" s="239">
        <v>1</v>
      </c>
      <c r="F96" s="239">
        <v>0</v>
      </c>
      <c r="G96" s="239" t="s">
        <v>844</v>
      </c>
      <c r="H96" s="240">
        <v>12</v>
      </c>
      <c r="I96" s="262"/>
      <c r="J96" s="262"/>
      <c r="K96" s="262"/>
      <c r="L96" s="262"/>
      <c r="M96" s="262"/>
      <c r="N96" s="262"/>
    </row>
    <row r="97" spans="1:14" ht="14.5" x14ac:dyDescent="0.35">
      <c r="A97" s="192" t="s">
        <v>10</v>
      </c>
      <c r="B97" s="193">
        <v>45554</v>
      </c>
      <c r="C97" s="214">
        <v>2041</v>
      </c>
      <c r="D97" s="195">
        <v>58</v>
      </c>
      <c r="E97" s="215">
        <v>1</v>
      </c>
      <c r="F97" s="215">
        <v>5</v>
      </c>
      <c r="G97" s="215" t="s">
        <v>845</v>
      </c>
      <c r="H97" s="216">
        <v>14</v>
      </c>
      <c r="I97" s="262"/>
      <c r="J97" s="262"/>
      <c r="K97" s="262"/>
      <c r="L97" s="262"/>
      <c r="M97" s="262"/>
      <c r="N97" s="262"/>
    </row>
    <row r="98" spans="1:14" ht="14.5" x14ac:dyDescent="0.35">
      <c r="A98" s="192" t="s">
        <v>13</v>
      </c>
      <c r="B98" s="193">
        <v>45555</v>
      </c>
      <c r="C98" s="237">
        <v>1758</v>
      </c>
      <c r="D98" s="238">
        <v>116</v>
      </c>
      <c r="E98" s="239">
        <v>2</v>
      </c>
      <c r="F98" s="239">
        <v>4</v>
      </c>
      <c r="G98" s="215" t="s">
        <v>846</v>
      </c>
      <c r="H98" s="240">
        <v>23</v>
      </c>
      <c r="I98" s="262"/>
      <c r="J98" s="262"/>
      <c r="K98" s="262"/>
      <c r="L98" s="262"/>
      <c r="M98" s="262"/>
      <c r="N98" s="262"/>
    </row>
    <row r="99" spans="1:14" ht="14.5" x14ac:dyDescent="0.35">
      <c r="A99" s="192" t="s">
        <v>16</v>
      </c>
      <c r="B99" s="193">
        <v>45556</v>
      </c>
      <c r="C99" s="205">
        <v>2091</v>
      </c>
      <c r="D99" s="206">
        <v>90</v>
      </c>
      <c r="E99" s="207">
        <v>1</v>
      </c>
      <c r="F99" s="207">
        <v>5</v>
      </c>
      <c r="G99" s="207" t="s">
        <v>239</v>
      </c>
      <c r="H99" s="208">
        <v>19</v>
      </c>
      <c r="I99" s="262"/>
      <c r="J99" s="262"/>
      <c r="K99" s="262"/>
      <c r="L99" s="262"/>
      <c r="M99" s="262"/>
      <c r="N99" s="262"/>
    </row>
    <row r="100" spans="1:14" ht="14.5" x14ac:dyDescent="0.35">
      <c r="A100" s="192" t="s">
        <v>18</v>
      </c>
      <c r="B100" s="193">
        <v>45557</v>
      </c>
      <c r="C100" s="209"/>
      <c r="D100" s="210"/>
      <c r="E100" s="211"/>
      <c r="F100" s="211"/>
      <c r="G100" s="211"/>
      <c r="H100" s="241"/>
      <c r="I100" s="262"/>
      <c r="J100" s="262"/>
      <c r="K100" s="262"/>
      <c r="L100" s="262"/>
      <c r="M100" s="262"/>
      <c r="N100" s="262"/>
    </row>
    <row r="101" spans="1:14" ht="14.5" x14ac:dyDescent="0.35">
      <c r="A101" s="192" t="s">
        <v>20</v>
      </c>
      <c r="B101" s="193">
        <v>45558</v>
      </c>
      <c r="C101" s="233">
        <v>3475</v>
      </c>
      <c r="D101" s="234">
        <v>58</v>
      </c>
      <c r="E101" s="235">
        <v>2</v>
      </c>
      <c r="F101" s="235">
        <v>4</v>
      </c>
      <c r="G101" s="235" t="s">
        <v>847</v>
      </c>
      <c r="H101" s="236">
        <v>24</v>
      </c>
      <c r="I101" s="262"/>
      <c r="J101" s="262"/>
      <c r="K101" s="262"/>
      <c r="L101" s="262"/>
      <c r="M101" s="262"/>
      <c r="N101" s="262"/>
    </row>
    <row r="102" spans="1:14" ht="14.5" x14ac:dyDescent="0.35">
      <c r="A102" s="192" t="s">
        <v>22</v>
      </c>
      <c r="B102" s="193">
        <v>45559</v>
      </c>
      <c r="C102" s="237">
        <v>2900</v>
      </c>
      <c r="D102" s="238">
        <v>224</v>
      </c>
      <c r="E102" s="239">
        <v>1</v>
      </c>
      <c r="F102" s="239">
        <v>1</v>
      </c>
      <c r="G102" s="239" t="s">
        <v>848</v>
      </c>
      <c r="H102" s="240">
        <v>20</v>
      </c>
      <c r="I102" s="262"/>
      <c r="J102" s="262"/>
      <c r="K102" s="262"/>
      <c r="L102" s="262"/>
      <c r="M102" s="262"/>
      <c r="N102" s="262"/>
    </row>
    <row r="103" spans="1:14" ht="14.5" x14ac:dyDescent="0.35">
      <c r="A103" s="192" t="s">
        <v>24</v>
      </c>
      <c r="B103" s="193">
        <v>45560</v>
      </c>
      <c r="C103" s="233">
        <v>1726</v>
      </c>
      <c r="D103" s="234">
        <v>86</v>
      </c>
      <c r="E103" s="235">
        <v>0</v>
      </c>
      <c r="F103" s="235">
        <v>0</v>
      </c>
      <c r="G103" s="235" t="s">
        <v>742</v>
      </c>
      <c r="H103" s="236">
        <v>13</v>
      </c>
      <c r="I103" s="262"/>
      <c r="J103" s="262"/>
      <c r="K103" s="262"/>
      <c r="L103" s="262"/>
      <c r="M103" s="508"/>
      <c r="N103" s="262"/>
    </row>
    <row r="104" spans="1:14" ht="14.5" x14ac:dyDescent="0.35">
      <c r="A104" s="192" t="s">
        <v>10</v>
      </c>
      <c r="B104" s="193">
        <v>45561</v>
      </c>
      <c r="C104" s="209">
        <v>2252</v>
      </c>
      <c r="D104" s="210">
        <v>58</v>
      </c>
      <c r="E104" s="211">
        <v>0</v>
      </c>
      <c r="F104" s="211">
        <v>2</v>
      </c>
      <c r="G104" s="211" t="s">
        <v>739</v>
      </c>
      <c r="H104" s="241">
        <v>19</v>
      </c>
      <c r="I104" s="262"/>
      <c r="J104" s="262"/>
      <c r="K104" s="262"/>
      <c r="L104" s="262"/>
      <c r="M104" s="508"/>
      <c r="N104" s="262"/>
    </row>
    <row r="105" spans="1:14" ht="14.5" x14ac:dyDescent="0.35">
      <c r="A105" s="192" t="s">
        <v>13</v>
      </c>
      <c r="B105" s="193">
        <v>45562</v>
      </c>
      <c r="C105" s="214">
        <v>2346</v>
      </c>
      <c r="D105" s="195">
        <v>57</v>
      </c>
      <c r="E105" s="215">
        <v>1</v>
      </c>
      <c r="F105" s="215">
        <v>2</v>
      </c>
      <c r="G105" s="215" t="s">
        <v>849</v>
      </c>
      <c r="H105" s="271">
        <v>10</v>
      </c>
      <c r="I105" s="262"/>
      <c r="J105" s="262"/>
      <c r="K105" s="262"/>
      <c r="L105" s="262"/>
      <c r="M105" s="262"/>
      <c r="N105" s="262"/>
    </row>
    <row r="106" spans="1:14" ht="14.5" x14ac:dyDescent="0.35">
      <c r="A106" s="192" t="s">
        <v>16</v>
      </c>
      <c r="B106" s="193">
        <v>45563</v>
      </c>
      <c r="C106" s="212">
        <v>1937</v>
      </c>
      <c r="D106" s="213">
        <v>116</v>
      </c>
      <c r="E106" s="203">
        <v>1</v>
      </c>
      <c r="F106" s="203">
        <v>8</v>
      </c>
      <c r="G106" s="215" t="s">
        <v>850</v>
      </c>
      <c r="H106" s="204">
        <v>28</v>
      </c>
      <c r="I106" s="262"/>
      <c r="J106" s="262"/>
      <c r="M106" s="262"/>
      <c r="N106" s="262"/>
    </row>
    <row r="107" spans="1:14" ht="14.5" x14ac:dyDescent="0.35">
      <c r="A107" s="192" t="s">
        <v>18</v>
      </c>
      <c r="B107" s="193">
        <v>45564</v>
      </c>
      <c r="C107" s="233"/>
      <c r="D107" s="195"/>
      <c r="E107" s="215"/>
      <c r="F107" s="247"/>
      <c r="G107" s="262"/>
      <c r="H107" s="216"/>
      <c r="I107" s="262"/>
      <c r="J107" s="262"/>
      <c r="M107" s="262"/>
      <c r="N107" s="262"/>
    </row>
    <row r="108" spans="1:14" ht="14.5" x14ac:dyDescent="0.35">
      <c r="A108" s="192" t="s">
        <v>20</v>
      </c>
      <c r="B108" s="193">
        <v>45565</v>
      </c>
      <c r="C108" s="212">
        <v>3870</v>
      </c>
      <c r="D108" s="213">
        <v>29</v>
      </c>
      <c r="E108" s="203">
        <v>3</v>
      </c>
      <c r="F108" s="203">
        <v>1</v>
      </c>
      <c r="G108" s="203" t="s">
        <v>851</v>
      </c>
      <c r="H108" s="204">
        <v>24</v>
      </c>
      <c r="I108" s="262"/>
      <c r="J108" s="262"/>
      <c r="M108" s="262"/>
      <c r="N108" s="262"/>
    </row>
    <row r="109" spans="1:14" thickBot="1" x14ac:dyDescent="0.4">
      <c r="A109" s="192"/>
      <c r="B109" s="193"/>
      <c r="C109" s="264"/>
      <c r="D109" s="265"/>
      <c r="E109" s="266"/>
      <c r="F109" s="266"/>
      <c r="G109" s="266" t="s">
        <v>749</v>
      </c>
      <c r="H109" s="267"/>
      <c r="I109" s="262"/>
      <c r="J109" s="262"/>
      <c r="M109" s="262"/>
      <c r="N109" s="262"/>
    </row>
    <row r="110" spans="1:14" thickBot="1" x14ac:dyDescent="0.4">
      <c r="A110" s="257"/>
      <c r="B110" s="268"/>
      <c r="C110" s="258">
        <f>SUM(C79:C109)</f>
        <v>56294</v>
      </c>
      <c r="D110" s="259">
        <f>SUM(D79:D109)</f>
        <v>2193</v>
      </c>
      <c r="E110" s="260">
        <f>SUM(E79:E109)</f>
        <v>18</v>
      </c>
      <c r="F110" s="260">
        <f>SUM(F79:F109)</f>
        <v>67</v>
      </c>
      <c r="G110" s="261"/>
      <c r="H110" s="261">
        <f>SUM(H79:H109)</f>
        <v>421</v>
      </c>
      <c r="I110" s="508"/>
      <c r="J110" s="508"/>
      <c r="K110" s="262"/>
      <c r="L110" s="262"/>
      <c r="M110" s="262"/>
      <c r="N110" s="262"/>
    </row>
    <row r="111" spans="1:14" ht="14.5" x14ac:dyDescent="0.35">
      <c r="A111" s="262"/>
      <c r="B111" s="474"/>
      <c r="C111" s="508"/>
      <c r="D111" s="475"/>
      <c r="E111" s="511"/>
      <c r="F111" s="262"/>
      <c r="G111" s="262"/>
      <c r="H111" s="262"/>
      <c r="I111" s="262"/>
      <c r="J111" s="262"/>
      <c r="K111" s="262"/>
      <c r="L111" s="262"/>
      <c r="M111" s="262"/>
    </row>
    <row r="112" spans="1:14" ht="14.5" x14ac:dyDescent="0.35">
      <c r="A112" s="262"/>
      <c r="B112" s="474"/>
      <c r="C112" s="508"/>
      <c r="D112" s="475"/>
      <c r="E112" s="511"/>
      <c r="F112" s="262"/>
      <c r="G112" s="262"/>
      <c r="H112" s="262"/>
      <c r="I112" s="262"/>
      <c r="J112" s="262"/>
      <c r="K112" s="262"/>
      <c r="L112" s="262"/>
      <c r="M112" s="262"/>
    </row>
    <row r="113" spans="1:13" ht="16" x14ac:dyDescent="0.4">
      <c r="A113" s="262"/>
      <c r="B113" s="474"/>
      <c r="C113" s="508"/>
      <c r="D113" s="475"/>
      <c r="E113" s="511"/>
      <c r="F113" s="262"/>
      <c r="G113" s="262"/>
      <c r="H113" s="262"/>
      <c r="I113" s="349"/>
      <c r="J113" s="349"/>
      <c r="K113" s="349"/>
      <c r="L113" s="349"/>
      <c r="M113" s="262"/>
    </row>
    <row r="114" spans="1:13" ht="25" customHeight="1" thickBot="1" x14ac:dyDescent="0.4">
      <c r="A114" s="262"/>
      <c r="B114" s="474"/>
      <c r="C114" s="508"/>
      <c r="D114" s="475"/>
      <c r="E114" s="511"/>
      <c r="F114" s="262"/>
      <c r="G114" s="262"/>
      <c r="H114" s="262"/>
      <c r="I114" s="262"/>
      <c r="J114" s="262"/>
      <c r="M114" s="262"/>
    </row>
    <row r="115" spans="1:13" ht="16" customHeight="1" x14ac:dyDescent="0.4">
      <c r="A115" s="2"/>
      <c r="B115" s="926" t="s">
        <v>70</v>
      </c>
      <c r="C115" s="935" t="s">
        <v>0</v>
      </c>
      <c r="D115" s="298" t="s">
        <v>2</v>
      </c>
      <c r="E115" s="184" t="s">
        <v>3</v>
      </c>
      <c r="F115" s="185" t="s">
        <v>143</v>
      </c>
      <c r="G115" s="186" t="s">
        <v>6</v>
      </c>
      <c r="H115" s="187" t="s">
        <v>7</v>
      </c>
      <c r="I115" s="262"/>
      <c r="J115" s="262"/>
      <c r="M115" s="262"/>
    </row>
    <row r="116" spans="1:13" ht="29.15" customHeight="1" x14ac:dyDescent="0.35">
      <c r="A116" s="8"/>
      <c r="B116" s="934"/>
      <c r="C116" s="936"/>
      <c r="D116" s="299" t="s">
        <v>0</v>
      </c>
      <c r="E116" s="188" t="s">
        <v>0</v>
      </c>
      <c r="F116" s="183" t="s">
        <v>0</v>
      </c>
      <c r="G116" s="189" t="s">
        <v>8</v>
      </c>
      <c r="H116" s="190" t="s">
        <v>9</v>
      </c>
      <c r="I116" s="262"/>
      <c r="J116" s="262"/>
      <c r="M116" s="262"/>
    </row>
    <row r="117" spans="1:13" ht="14.5" x14ac:dyDescent="0.35">
      <c r="A117" s="192" t="s">
        <v>18</v>
      </c>
      <c r="B117" s="193">
        <v>45536</v>
      </c>
      <c r="C117" s="194"/>
      <c r="D117" s="195"/>
      <c r="E117" s="196"/>
      <c r="F117" s="269"/>
      <c r="G117" s="262"/>
      <c r="H117" s="199"/>
      <c r="I117" s="262"/>
      <c r="J117" s="262"/>
      <c r="M117" s="262"/>
    </row>
    <row r="118" spans="1:13" ht="14.5" x14ac:dyDescent="0.35">
      <c r="A118" s="192" t="s">
        <v>20</v>
      </c>
      <c r="B118" s="193">
        <v>45537</v>
      </c>
      <c r="C118" s="212">
        <v>0</v>
      </c>
      <c r="D118" s="213">
        <v>0</v>
      </c>
      <c r="E118" s="203">
        <v>0</v>
      </c>
      <c r="F118" s="203">
        <v>0</v>
      </c>
      <c r="G118" s="203" t="s">
        <v>175</v>
      </c>
      <c r="H118" s="204">
        <v>0</v>
      </c>
      <c r="I118" s="262"/>
      <c r="J118" s="262"/>
      <c r="K118" s="517"/>
      <c r="L118" s="473"/>
      <c r="M118" s="262"/>
    </row>
    <row r="119" spans="1:13" ht="14.5" x14ac:dyDescent="0.35">
      <c r="A119" s="192" t="s">
        <v>22</v>
      </c>
      <c r="B119" s="193">
        <v>45538</v>
      </c>
      <c r="C119" s="205">
        <v>2227</v>
      </c>
      <c r="D119" s="206">
        <v>140</v>
      </c>
      <c r="E119" s="207">
        <v>0</v>
      </c>
      <c r="F119" s="207">
        <v>2</v>
      </c>
      <c r="G119" s="207" t="s">
        <v>175</v>
      </c>
      <c r="H119" s="208">
        <v>15</v>
      </c>
      <c r="I119" s="262"/>
      <c r="J119" s="262"/>
      <c r="K119" s="923" t="s">
        <v>12</v>
      </c>
      <c r="L119" s="923"/>
      <c r="M119" s="262"/>
    </row>
    <row r="120" spans="1:13" ht="14.5" x14ac:dyDescent="0.35">
      <c r="A120" s="192" t="s">
        <v>24</v>
      </c>
      <c r="B120" s="193">
        <v>45539</v>
      </c>
      <c r="C120" s="209">
        <v>3021</v>
      </c>
      <c r="D120" s="210">
        <v>70</v>
      </c>
      <c r="E120" s="211">
        <v>1</v>
      </c>
      <c r="F120" s="211">
        <v>4</v>
      </c>
      <c r="G120" s="211" t="s">
        <v>852</v>
      </c>
      <c r="H120" s="241">
        <v>16</v>
      </c>
      <c r="I120" s="262"/>
      <c r="J120" s="262"/>
      <c r="K120" s="513" t="s">
        <v>15</v>
      </c>
      <c r="L120" s="409">
        <v>50000</v>
      </c>
      <c r="M120" s="262"/>
    </row>
    <row r="121" spans="1:13" ht="14.5" x14ac:dyDescent="0.35">
      <c r="A121" s="192" t="s">
        <v>10</v>
      </c>
      <c r="B121" s="193">
        <v>45540</v>
      </c>
      <c r="C121" s="205">
        <v>1482</v>
      </c>
      <c r="D121" s="206">
        <v>58</v>
      </c>
      <c r="E121" s="207">
        <v>0</v>
      </c>
      <c r="F121" s="207">
        <v>1</v>
      </c>
      <c r="G121" s="207" t="s">
        <v>853</v>
      </c>
      <c r="H121" s="208">
        <v>12</v>
      </c>
      <c r="I121" s="262"/>
      <c r="J121" s="262"/>
      <c r="K121" s="504" t="s">
        <v>17</v>
      </c>
      <c r="L121" s="411">
        <v>1200</v>
      </c>
      <c r="M121" s="262"/>
    </row>
    <row r="122" spans="1:13" ht="14.5" x14ac:dyDescent="0.35">
      <c r="A122" s="192" t="s">
        <v>13</v>
      </c>
      <c r="B122" s="193">
        <v>45541</v>
      </c>
      <c r="C122" s="212">
        <v>980</v>
      </c>
      <c r="D122" s="213">
        <v>58</v>
      </c>
      <c r="E122" s="203">
        <v>0</v>
      </c>
      <c r="F122" s="203">
        <v>0</v>
      </c>
      <c r="G122" s="203" t="s">
        <v>854</v>
      </c>
      <c r="H122" s="204">
        <v>6</v>
      </c>
      <c r="I122" s="262"/>
      <c r="J122" s="262"/>
      <c r="K122" s="515" t="s">
        <v>3</v>
      </c>
      <c r="L122" s="413">
        <v>8</v>
      </c>
      <c r="M122" s="262"/>
    </row>
    <row r="123" spans="1:13" ht="14.5" x14ac:dyDescent="0.35">
      <c r="A123" s="192" t="s">
        <v>16</v>
      </c>
      <c r="B123" s="193">
        <v>45542</v>
      </c>
      <c r="C123" s="214">
        <v>3306</v>
      </c>
      <c r="D123" s="195">
        <v>75</v>
      </c>
      <c r="E123" s="215">
        <v>0</v>
      </c>
      <c r="F123" s="215">
        <v>6</v>
      </c>
      <c r="G123" s="215" t="s">
        <v>855</v>
      </c>
      <c r="H123" s="216">
        <v>24</v>
      </c>
      <c r="I123" s="262"/>
      <c r="J123" s="262"/>
      <c r="K123" s="517"/>
      <c r="L123" s="473"/>
      <c r="M123" s="262"/>
    </row>
    <row r="124" spans="1:13" ht="14.5" x14ac:dyDescent="0.35">
      <c r="A124" s="192" t="s">
        <v>18</v>
      </c>
      <c r="B124" s="193">
        <v>45543</v>
      </c>
      <c r="C124" s="217"/>
      <c r="D124" s="218"/>
      <c r="E124" s="219"/>
      <c r="F124" s="219"/>
      <c r="G124" s="219"/>
      <c r="H124" s="220"/>
      <c r="I124" s="262"/>
      <c r="J124" s="262"/>
      <c r="K124" s="517"/>
      <c r="L124" s="473"/>
      <c r="M124" s="262"/>
    </row>
    <row r="125" spans="1:13" ht="14.5" x14ac:dyDescent="0.35">
      <c r="A125" s="192" t="s">
        <v>20</v>
      </c>
      <c r="B125" s="193">
        <v>45544</v>
      </c>
      <c r="C125" s="221">
        <v>2225</v>
      </c>
      <c r="D125" s="222">
        <v>0</v>
      </c>
      <c r="E125" s="223">
        <v>2</v>
      </c>
      <c r="F125" s="223">
        <v>1</v>
      </c>
      <c r="G125" s="223" t="s">
        <v>601</v>
      </c>
      <c r="H125" s="224">
        <v>13</v>
      </c>
      <c r="I125" s="262"/>
      <c r="J125" s="262"/>
      <c r="K125" s="517"/>
      <c r="L125" s="473"/>
      <c r="M125" s="262"/>
    </row>
    <row r="126" spans="1:13" ht="14.5" x14ac:dyDescent="0.35">
      <c r="A126" s="192" t="s">
        <v>22</v>
      </c>
      <c r="B126" s="193">
        <v>45545</v>
      </c>
      <c r="C126" s="225">
        <v>1718</v>
      </c>
      <c r="D126" s="226">
        <v>165</v>
      </c>
      <c r="E126" s="227">
        <v>0</v>
      </c>
      <c r="F126" s="227">
        <v>2</v>
      </c>
      <c r="G126" s="227" t="s">
        <v>856</v>
      </c>
      <c r="H126" s="228">
        <v>10</v>
      </c>
      <c r="I126" s="262"/>
      <c r="J126" s="262"/>
      <c r="K126" s="517"/>
      <c r="L126" s="473"/>
      <c r="M126" s="262"/>
    </row>
    <row r="127" spans="1:13" ht="14.5" x14ac:dyDescent="0.35">
      <c r="A127" s="192" t="s">
        <v>24</v>
      </c>
      <c r="B127" s="193">
        <v>45546</v>
      </c>
      <c r="C127" s="229">
        <v>2210</v>
      </c>
      <c r="D127" s="230">
        <v>110</v>
      </c>
      <c r="E127" s="231">
        <v>0</v>
      </c>
      <c r="F127" s="231">
        <v>0</v>
      </c>
      <c r="G127" s="231" t="s">
        <v>782</v>
      </c>
      <c r="H127" s="232">
        <v>8</v>
      </c>
      <c r="I127" s="262"/>
      <c r="J127" s="262"/>
      <c r="K127" s="517"/>
      <c r="L127" s="473"/>
      <c r="M127" s="262"/>
    </row>
    <row r="128" spans="1:13" ht="14.5" x14ac:dyDescent="0.35">
      <c r="A128" s="192" t="s">
        <v>10</v>
      </c>
      <c r="B128" s="193">
        <v>45547</v>
      </c>
      <c r="C128" s="225">
        <v>1373</v>
      </c>
      <c r="D128" s="226">
        <v>30</v>
      </c>
      <c r="E128" s="227">
        <v>0</v>
      </c>
      <c r="F128" s="227">
        <v>0</v>
      </c>
      <c r="G128" s="227"/>
      <c r="H128" s="228">
        <v>10</v>
      </c>
      <c r="I128" s="262"/>
      <c r="J128" s="262"/>
      <c r="K128" s="517"/>
      <c r="L128" s="473"/>
      <c r="M128" s="262"/>
    </row>
    <row r="129" spans="1:13" ht="14.5" x14ac:dyDescent="0.35">
      <c r="A129" s="192" t="s">
        <v>13</v>
      </c>
      <c r="B129" s="193">
        <v>45548</v>
      </c>
      <c r="C129" s="233">
        <v>1639</v>
      </c>
      <c r="D129" s="234">
        <v>30</v>
      </c>
      <c r="E129" s="235">
        <v>0</v>
      </c>
      <c r="F129" s="235">
        <v>1</v>
      </c>
      <c r="G129" s="235"/>
      <c r="H129" s="236">
        <v>5</v>
      </c>
      <c r="I129" s="262"/>
      <c r="J129" s="262"/>
      <c r="K129" s="517"/>
      <c r="L129" s="473"/>
      <c r="M129" s="262"/>
    </row>
    <row r="130" spans="1:13" ht="14.5" x14ac:dyDescent="0.35">
      <c r="A130" s="192" t="s">
        <v>16</v>
      </c>
      <c r="B130" s="193">
        <v>45549</v>
      </c>
      <c r="C130" s="225">
        <v>3705</v>
      </c>
      <c r="D130" s="226">
        <v>50</v>
      </c>
      <c r="E130" s="227">
        <v>0</v>
      </c>
      <c r="F130" s="227">
        <v>3</v>
      </c>
      <c r="G130" s="227"/>
      <c r="H130" s="228">
        <v>19</v>
      </c>
      <c r="I130" s="262"/>
      <c r="J130" s="262"/>
      <c r="K130" s="517"/>
      <c r="L130" s="473"/>
      <c r="M130" s="262"/>
    </row>
    <row r="131" spans="1:13" ht="14.5" x14ac:dyDescent="0.35">
      <c r="A131" s="192" t="s">
        <v>18</v>
      </c>
      <c r="B131" s="193">
        <v>45550</v>
      </c>
      <c r="C131" s="233"/>
      <c r="D131" s="195"/>
      <c r="E131" s="215"/>
      <c r="F131" s="215"/>
      <c r="G131" s="215"/>
      <c r="H131" s="216"/>
      <c r="I131" s="262"/>
      <c r="J131" s="262"/>
      <c r="K131" s="262"/>
      <c r="L131" s="262"/>
      <c r="M131" s="262"/>
    </row>
    <row r="132" spans="1:13" ht="14.5" x14ac:dyDescent="0.35">
      <c r="A132" s="192" t="s">
        <v>20</v>
      </c>
      <c r="B132" s="193">
        <v>45551</v>
      </c>
      <c r="C132" s="209">
        <v>3015</v>
      </c>
      <c r="D132" s="213">
        <v>120</v>
      </c>
      <c r="E132" s="203">
        <v>0</v>
      </c>
      <c r="F132" s="203">
        <v>0</v>
      </c>
      <c r="G132" s="203" t="s">
        <v>780</v>
      </c>
      <c r="H132" s="204">
        <v>17</v>
      </c>
      <c r="I132" s="262"/>
      <c r="J132" s="262"/>
      <c r="K132" s="262"/>
      <c r="L132" s="262"/>
      <c r="M132" s="262"/>
    </row>
    <row r="133" spans="1:13" ht="14.5" x14ac:dyDescent="0.35">
      <c r="A133" s="192" t="s">
        <v>22</v>
      </c>
      <c r="B133" s="193">
        <v>45552</v>
      </c>
      <c r="C133" s="233">
        <v>2137</v>
      </c>
      <c r="D133" s="234">
        <v>0</v>
      </c>
      <c r="E133" s="215">
        <v>0</v>
      </c>
      <c r="F133" s="215">
        <v>1</v>
      </c>
      <c r="G133" s="235" t="s">
        <v>857</v>
      </c>
      <c r="H133" s="216">
        <v>10</v>
      </c>
      <c r="I133" s="262"/>
      <c r="J133" s="262"/>
      <c r="K133" s="262"/>
      <c r="L133" s="262"/>
      <c r="M133" s="262"/>
    </row>
    <row r="134" spans="1:13" ht="14.5" x14ac:dyDescent="0.35">
      <c r="A134" s="192" t="s">
        <v>24</v>
      </c>
      <c r="B134" s="193">
        <v>45553</v>
      </c>
      <c r="C134" s="237">
        <v>435</v>
      </c>
      <c r="D134" s="270">
        <v>0</v>
      </c>
      <c r="E134" s="239">
        <v>0</v>
      </c>
      <c r="F134" s="239">
        <v>0</v>
      </c>
      <c r="G134" s="239" t="s">
        <v>188</v>
      </c>
      <c r="H134" s="240">
        <v>2</v>
      </c>
      <c r="I134" s="262"/>
      <c r="J134" s="262"/>
      <c r="K134" s="262"/>
      <c r="L134" s="262"/>
      <c r="M134" s="262"/>
    </row>
    <row r="135" spans="1:13" ht="14.5" x14ac:dyDescent="0.35">
      <c r="A135" s="192" t="s">
        <v>10</v>
      </c>
      <c r="B135" s="193">
        <v>45554</v>
      </c>
      <c r="C135" s="214">
        <v>1369</v>
      </c>
      <c r="D135" s="195">
        <v>30</v>
      </c>
      <c r="E135" s="215">
        <v>0</v>
      </c>
      <c r="F135" s="215">
        <v>2</v>
      </c>
      <c r="G135" s="215" t="s">
        <v>857</v>
      </c>
      <c r="H135" s="216">
        <v>6</v>
      </c>
      <c r="I135" s="262"/>
      <c r="J135" s="262"/>
      <c r="K135" s="262"/>
      <c r="L135" s="262"/>
      <c r="M135" s="262"/>
    </row>
    <row r="136" spans="1:13" ht="14.5" x14ac:dyDescent="0.35">
      <c r="A136" s="192" t="s">
        <v>13</v>
      </c>
      <c r="B136" s="193">
        <v>45555</v>
      </c>
      <c r="C136" s="237">
        <v>1411</v>
      </c>
      <c r="D136" s="238">
        <v>30</v>
      </c>
      <c r="E136" s="239">
        <v>1</v>
      </c>
      <c r="F136" s="239">
        <v>1</v>
      </c>
      <c r="G136" s="239" t="s">
        <v>785</v>
      </c>
      <c r="H136" s="240">
        <v>8</v>
      </c>
      <c r="I136" s="262"/>
      <c r="J136" s="262"/>
      <c r="K136" s="262"/>
      <c r="L136" s="262"/>
      <c r="M136" s="262"/>
    </row>
    <row r="137" spans="1:13" ht="14.5" x14ac:dyDescent="0.35">
      <c r="A137" s="192" t="s">
        <v>16</v>
      </c>
      <c r="B137" s="193">
        <v>45556</v>
      </c>
      <c r="C137" s="205">
        <v>2525</v>
      </c>
      <c r="D137" s="206">
        <v>30</v>
      </c>
      <c r="E137" s="207">
        <v>0</v>
      </c>
      <c r="F137" s="207">
        <v>2</v>
      </c>
      <c r="G137" s="207" t="s">
        <v>784</v>
      </c>
      <c r="H137" s="208">
        <v>15</v>
      </c>
      <c r="I137" s="262"/>
      <c r="J137" s="262"/>
      <c r="K137" s="262"/>
      <c r="L137" s="262"/>
      <c r="M137" s="262"/>
    </row>
    <row r="138" spans="1:13" ht="14.5" x14ac:dyDescent="0.35">
      <c r="A138" s="192" t="s">
        <v>18</v>
      </c>
      <c r="B138" s="193">
        <v>45557</v>
      </c>
      <c r="C138" s="209"/>
      <c r="D138" s="210"/>
      <c r="E138" s="211"/>
      <c r="F138" s="211"/>
      <c r="G138" s="211"/>
      <c r="H138" s="241"/>
      <c r="I138" s="262"/>
      <c r="J138" s="262"/>
      <c r="K138" s="262"/>
      <c r="L138" s="262"/>
      <c r="M138" s="262"/>
    </row>
    <row r="139" spans="1:13" ht="14.5" x14ac:dyDescent="0.35">
      <c r="A139" s="192" t="s">
        <v>20</v>
      </c>
      <c r="B139" s="193">
        <v>45558</v>
      </c>
      <c r="C139" s="233">
        <v>2298</v>
      </c>
      <c r="D139" s="234">
        <v>30</v>
      </c>
      <c r="E139" s="235">
        <v>0</v>
      </c>
      <c r="F139" s="235">
        <v>0</v>
      </c>
      <c r="G139" s="235" t="s">
        <v>784</v>
      </c>
      <c r="H139" s="236">
        <v>16</v>
      </c>
      <c r="I139" s="262"/>
      <c r="J139" s="262"/>
      <c r="K139" s="262"/>
      <c r="L139" s="262"/>
      <c r="M139" s="262"/>
    </row>
    <row r="140" spans="1:13" ht="14.5" x14ac:dyDescent="0.35">
      <c r="A140" s="192" t="s">
        <v>22</v>
      </c>
      <c r="B140" s="193">
        <v>45559</v>
      </c>
      <c r="C140" s="237">
        <v>1617</v>
      </c>
      <c r="D140" s="238">
        <v>120</v>
      </c>
      <c r="E140" s="239">
        <v>0</v>
      </c>
      <c r="F140" s="239">
        <v>0</v>
      </c>
      <c r="G140" s="239" t="s">
        <v>858</v>
      </c>
      <c r="H140" s="240">
        <v>9</v>
      </c>
      <c r="I140" s="262"/>
      <c r="J140" s="262"/>
      <c r="K140" s="262"/>
      <c r="L140" s="262"/>
      <c r="M140" s="262"/>
    </row>
    <row r="141" spans="1:13" ht="14.5" x14ac:dyDescent="0.35">
      <c r="A141" s="192" t="s">
        <v>24</v>
      </c>
      <c r="B141" s="193">
        <v>45560</v>
      </c>
      <c r="C141" s="233">
        <v>1752</v>
      </c>
      <c r="D141" s="234">
        <v>30</v>
      </c>
      <c r="E141" s="235">
        <v>0</v>
      </c>
      <c r="F141" s="235">
        <v>0</v>
      </c>
      <c r="G141" s="235" t="s">
        <v>780</v>
      </c>
      <c r="H141" s="236">
        <v>10</v>
      </c>
      <c r="I141" s="262"/>
      <c r="J141" s="262"/>
      <c r="K141" s="262"/>
      <c r="L141" s="262"/>
      <c r="M141" s="262"/>
    </row>
    <row r="142" spans="1:13" ht="14.5" x14ac:dyDescent="0.35">
      <c r="A142" s="192" t="s">
        <v>10</v>
      </c>
      <c r="B142" s="193">
        <v>45561</v>
      </c>
      <c r="C142" s="209">
        <v>1544</v>
      </c>
      <c r="D142" s="210">
        <v>30</v>
      </c>
      <c r="E142" s="211">
        <v>0</v>
      </c>
      <c r="F142" s="211">
        <v>0</v>
      </c>
      <c r="G142" s="211" t="s">
        <v>859</v>
      </c>
      <c r="H142" s="241">
        <v>7</v>
      </c>
      <c r="I142" s="262"/>
      <c r="J142" s="262"/>
      <c r="K142" s="262"/>
      <c r="L142" s="262"/>
      <c r="M142" s="262"/>
    </row>
    <row r="143" spans="1:13" ht="14.5" x14ac:dyDescent="0.35">
      <c r="A143" s="192" t="s">
        <v>13</v>
      </c>
      <c r="B143" s="193">
        <v>45562</v>
      </c>
      <c r="C143" s="214">
        <v>1377</v>
      </c>
      <c r="D143" s="195">
        <v>0</v>
      </c>
      <c r="E143" s="215">
        <v>0</v>
      </c>
      <c r="F143" s="215"/>
      <c r="G143" s="215">
        <v>0</v>
      </c>
      <c r="H143" s="271">
        <v>9</v>
      </c>
      <c r="I143" s="262"/>
      <c r="J143" s="262"/>
      <c r="K143" s="262"/>
      <c r="L143" s="262"/>
      <c r="M143" s="262"/>
    </row>
    <row r="144" spans="1:13" ht="14.5" x14ac:dyDescent="0.35">
      <c r="A144" s="192" t="s">
        <v>16</v>
      </c>
      <c r="B144" s="193">
        <v>45563</v>
      </c>
      <c r="C144" s="212">
        <v>1769</v>
      </c>
      <c r="D144" s="213">
        <v>0</v>
      </c>
      <c r="E144" s="203">
        <v>0</v>
      </c>
      <c r="F144" s="203">
        <v>0</v>
      </c>
      <c r="G144" s="215" t="s">
        <v>860</v>
      </c>
      <c r="H144" s="204">
        <v>12</v>
      </c>
      <c r="I144" s="262"/>
      <c r="J144" s="262"/>
      <c r="K144" s="262"/>
      <c r="L144" s="262"/>
      <c r="M144" s="262"/>
    </row>
    <row r="145" spans="1:13" ht="14.5" x14ac:dyDescent="0.35">
      <c r="A145" s="192" t="s">
        <v>18</v>
      </c>
      <c r="B145" s="193">
        <v>45564</v>
      </c>
      <c r="C145" s="233"/>
      <c r="D145" s="195"/>
      <c r="E145" s="215"/>
      <c r="F145" s="247"/>
      <c r="G145" s="262"/>
      <c r="H145" s="216"/>
      <c r="I145" s="262"/>
      <c r="J145" s="262"/>
      <c r="K145" s="262"/>
      <c r="L145" s="262"/>
      <c r="M145" s="262"/>
    </row>
    <row r="146" spans="1:13" ht="14.5" x14ac:dyDescent="0.35">
      <c r="A146" s="192" t="s">
        <v>20</v>
      </c>
      <c r="B146" s="193">
        <v>45565</v>
      </c>
      <c r="C146" s="212">
        <v>1325</v>
      </c>
      <c r="D146" s="213">
        <v>58</v>
      </c>
      <c r="E146" s="203">
        <v>0</v>
      </c>
      <c r="F146" s="203">
        <v>1</v>
      </c>
      <c r="G146" s="203" t="s">
        <v>861</v>
      </c>
      <c r="H146" s="204">
        <v>5</v>
      </c>
      <c r="I146" s="262"/>
      <c r="J146" s="262"/>
      <c r="K146" s="262"/>
      <c r="L146" s="262"/>
      <c r="M146" s="262"/>
    </row>
    <row r="147" spans="1:13" thickBot="1" x14ac:dyDescent="0.4">
      <c r="A147" s="192"/>
      <c r="B147" s="193"/>
      <c r="C147" s="264"/>
      <c r="D147" s="265"/>
      <c r="E147" s="266"/>
      <c r="F147" s="266"/>
      <c r="G147" s="266" t="s">
        <v>776</v>
      </c>
      <c r="H147" s="267"/>
      <c r="I147" s="262"/>
      <c r="J147" s="262"/>
      <c r="K147" s="262"/>
      <c r="L147" s="262"/>
      <c r="M147" s="262"/>
    </row>
    <row r="148" spans="1:13" thickBot="1" x14ac:dyDescent="0.4">
      <c r="A148" s="257"/>
      <c r="B148" s="268"/>
      <c r="C148" s="258">
        <f>SUM(C117:C147)</f>
        <v>46460</v>
      </c>
      <c r="D148" s="259">
        <f>SUM(D117:D147)</f>
        <v>1264</v>
      </c>
      <c r="E148" s="260">
        <f>SUM(E117:E147)</f>
        <v>4</v>
      </c>
      <c r="F148" s="260">
        <f>SUM(F117:F147)</f>
        <v>27</v>
      </c>
      <c r="G148" s="261"/>
      <c r="H148" s="261">
        <f>SUM(H117:H147)</f>
        <v>264</v>
      </c>
      <c r="I148" s="262"/>
      <c r="J148" s="262"/>
      <c r="K148" s="262"/>
      <c r="L148" s="262"/>
      <c r="M148" s="262"/>
    </row>
    <row r="149" spans="1:13" ht="14.5" x14ac:dyDescent="0.35">
      <c r="A149" s="262"/>
      <c r="B149" s="474"/>
      <c r="C149" s="475"/>
      <c r="D149" s="475"/>
      <c r="E149" s="476"/>
      <c r="F149" s="476"/>
      <c r="G149" s="477"/>
      <c r="H149" s="477"/>
      <c r="I149" s="262"/>
      <c r="J149" s="262"/>
      <c r="K149" s="262"/>
      <c r="L149" s="262"/>
      <c r="M149" s="262"/>
    </row>
    <row r="150" spans="1:13" ht="14.5" x14ac:dyDescent="0.35">
      <c r="A150" s="262"/>
      <c r="B150" s="474"/>
      <c r="C150" s="475"/>
      <c r="D150" s="475"/>
      <c r="E150" s="476"/>
      <c r="F150" s="476"/>
      <c r="G150" s="477"/>
      <c r="H150" s="477"/>
      <c r="I150" s="262"/>
      <c r="J150" s="262"/>
      <c r="K150" s="262"/>
      <c r="L150" s="262"/>
      <c r="M150" s="262"/>
    </row>
    <row r="151" spans="1:13" thickBot="1" x14ac:dyDescent="0.4">
      <c r="A151" s="262"/>
      <c r="B151" s="474"/>
      <c r="C151" s="475"/>
      <c r="D151" s="475"/>
      <c r="E151" s="476"/>
      <c r="F151" s="476"/>
      <c r="G151" s="477"/>
      <c r="H151" s="477"/>
      <c r="I151" s="262"/>
      <c r="J151" s="262"/>
      <c r="K151" s="262"/>
      <c r="L151" s="262"/>
      <c r="M151" s="262"/>
    </row>
    <row r="152" spans="1:13" ht="14.5" x14ac:dyDescent="0.35">
      <c r="A152" s="924" t="s">
        <v>85</v>
      </c>
      <c r="B152" s="938"/>
      <c r="C152" s="933" t="s">
        <v>1</v>
      </c>
      <c r="D152" s="944"/>
      <c r="E152" s="945"/>
      <c r="F152" s="262"/>
      <c r="G152" s="262"/>
      <c r="H152" s="262"/>
      <c r="I152" s="262"/>
      <c r="J152" s="262"/>
      <c r="K152" s="262"/>
      <c r="L152" s="262"/>
      <c r="M152" s="262"/>
    </row>
    <row r="153" spans="1:13" thickBot="1" x14ac:dyDescent="0.4">
      <c r="A153" s="939"/>
      <c r="B153" s="940"/>
      <c r="C153" s="946"/>
      <c r="D153" s="947"/>
      <c r="E153" s="949"/>
      <c r="F153" s="262"/>
      <c r="G153" s="262"/>
      <c r="H153" s="262"/>
      <c r="I153" s="262"/>
      <c r="J153" s="262"/>
      <c r="K153" s="262"/>
      <c r="L153" s="262"/>
      <c r="M153" s="262"/>
    </row>
    <row r="154" spans="1:13" ht="14.5" customHeight="1" x14ac:dyDescent="0.4">
      <c r="A154" s="939"/>
      <c r="B154" s="941"/>
      <c r="C154" s="921" t="s">
        <v>88</v>
      </c>
      <c r="D154" s="272" t="s">
        <v>89</v>
      </c>
      <c r="E154" s="273" t="s">
        <v>90</v>
      </c>
      <c r="F154" s="274" t="s">
        <v>91</v>
      </c>
      <c r="G154" s="262"/>
      <c r="H154" s="262"/>
      <c r="I154" s="262"/>
      <c r="J154" s="262"/>
      <c r="K154" s="262"/>
      <c r="L154" s="262"/>
      <c r="M154" s="262"/>
    </row>
    <row r="155" spans="1:13" ht="15" customHeight="1" x14ac:dyDescent="0.35">
      <c r="A155" s="942"/>
      <c r="B155" s="943"/>
      <c r="C155" s="948"/>
      <c r="D155" s="275" t="s">
        <v>7</v>
      </c>
      <c r="E155" s="276" t="s">
        <v>0</v>
      </c>
      <c r="F155" s="277" t="s">
        <v>0</v>
      </c>
      <c r="G155" s="262"/>
      <c r="H155" s="262"/>
      <c r="I155" s="262"/>
      <c r="J155" s="262"/>
      <c r="K155" s="262"/>
      <c r="L155" s="262"/>
      <c r="M155" s="262"/>
    </row>
    <row r="156" spans="1:13" ht="16" customHeight="1" x14ac:dyDescent="0.35">
      <c r="A156" s="192" t="s">
        <v>18</v>
      </c>
      <c r="B156" s="193">
        <v>45536</v>
      </c>
      <c r="C156" s="285"/>
      <c r="D156" s="262"/>
      <c r="E156" s="216"/>
      <c r="F156" s="216"/>
      <c r="G156" s="262"/>
      <c r="H156" s="262"/>
      <c r="I156" s="262"/>
      <c r="J156" s="262"/>
      <c r="K156" s="262"/>
      <c r="L156" s="262"/>
      <c r="M156" s="262"/>
    </row>
    <row r="157" spans="1:13" ht="14.5" customHeight="1" x14ac:dyDescent="0.35">
      <c r="A157" s="192" t="s">
        <v>20</v>
      </c>
      <c r="B157" s="193">
        <v>45537</v>
      </c>
      <c r="C157" s="280">
        <v>110</v>
      </c>
      <c r="D157" s="197">
        <v>6</v>
      </c>
      <c r="E157" s="208">
        <v>0</v>
      </c>
      <c r="F157" s="208">
        <v>0</v>
      </c>
      <c r="G157" s="262"/>
      <c r="H157" s="262"/>
      <c r="I157" s="262"/>
      <c r="J157" s="262"/>
      <c r="K157" s="262"/>
      <c r="L157" s="262"/>
      <c r="M157" s="262"/>
    </row>
    <row r="158" spans="1:13" ht="14.5" x14ac:dyDescent="0.35">
      <c r="A158" s="192" t="s">
        <v>22</v>
      </c>
      <c r="B158" s="193">
        <v>45538</v>
      </c>
      <c r="C158" s="479">
        <v>5494</v>
      </c>
      <c r="D158" s="262">
        <v>21</v>
      </c>
      <c r="E158" s="236">
        <v>0</v>
      </c>
      <c r="F158" s="236">
        <v>0</v>
      </c>
      <c r="G158" s="262"/>
      <c r="H158" s="262"/>
      <c r="I158" s="262"/>
      <c r="J158" s="262"/>
      <c r="K158" s="262"/>
      <c r="L158" s="262"/>
      <c r="M158" s="262"/>
    </row>
    <row r="159" spans="1:13" ht="14.5" x14ac:dyDescent="0.35">
      <c r="A159" s="192" t="s">
        <v>24</v>
      </c>
      <c r="B159" s="193">
        <v>45539</v>
      </c>
      <c r="C159" s="280">
        <v>2964</v>
      </c>
      <c r="D159" s="197">
        <v>14</v>
      </c>
      <c r="E159" s="208">
        <v>0</v>
      </c>
      <c r="F159" s="208">
        <v>0</v>
      </c>
      <c r="G159" s="262"/>
      <c r="H159" s="262"/>
      <c r="I159" s="262"/>
      <c r="J159" s="262"/>
      <c r="K159" s="262"/>
      <c r="L159" s="262"/>
      <c r="M159" s="262"/>
    </row>
    <row r="160" spans="1:13" ht="14.5" x14ac:dyDescent="0.35">
      <c r="A160" s="192" t="s">
        <v>10</v>
      </c>
      <c r="B160" s="193">
        <v>45540</v>
      </c>
      <c r="C160" s="283">
        <v>548</v>
      </c>
      <c r="D160" s="262">
        <v>10</v>
      </c>
      <c r="E160" s="216">
        <v>0</v>
      </c>
      <c r="F160" s="216">
        <v>0</v>
      </c>
      <c r="G160" s="262"/>
      <c r="H160" s="262"/>
      <c r="I160" s="262"/>
      <c r="J160" s="262"/>
      <c r="K160" s="262"/>
      <c r="L160" s="262"/>
      <c r="M160" s="262"/>
    </row>
    <row r="161" spans="1:13" ht="14.5" x14ac:dyDescent="0.35">
      <c r="A161" s="192" t="s">
        <v>13</v>
      </c>
      <c r="B161" s="193">
        <v>45541</v>
      </c>
      <c r="C161" s="283">
        <v>539</v>
      </c>
      <c r="D161" s="197">
        <v>21</v>
      </c>
      <c r="E161" s="216">
        <v>0</v>
      </c>
      <c r="F161" s="216">
        <v>0</v>
      </c>
      <c r="G161" s="262"/>
      <c r="H161" s="262"/>
      <c r="I161" s="262"/>
      <c r="J161" s="262"/>
      <c r="K161" s="262"/>
      <c r="L161" s="262"/>
      <c r="M161" s="262"/>
    </row>
    <row r="162" spans="1:13" ht="14.5" x14ac:dyDescent="0.35">
      <c r="A162" s="192" t="s">
        <v>16</v>
      </c>
      <c r="B162" s="193">
        <v>45542</v>
      </c>
      <c r="C162" s="480">
        <v>110</v>
      </c>
      <c r="D162" s="262">
        <v>9</v>
      </c>
      <c r="E162" s="232">
        <v>0</v>
      </c>
      <c r="F162" s="232">
        <v>1</v>
      </c>
      <c r="G162" s="262"/>
      <c r="H162" s="262"/>
      <c r="I162" s="262"/>
      <c r="J162" s="262"/>
      <c r="K162" s="262"/>
      <c r="L162" s="262"/>
      <c r="M162" s="262"/>
    </row>
    <row r="163" spans="1:13" ht="14.5" x14ac:dyDescent="0.35">
      <c r="A163" s="192" t="s">
        <v>18</v>
      </c>
      <c r="B163" s="193">
        <v>45543</v>
      </c>
      <c r="C163" s="285">
        <v>3998</v>
      </c>
      <c r="D163" s="197"/>
      <c r="E163" s="224"/>
      <c r="F163" s="224"/>
      <c r="G163" s="262"/>
      <c r="H163" s="262"/>
      <c r="I163" s="262"/>
      <c r="J163" s="262"/>
      <c r="K163" s="262"/>
      <c r="L163" s="262"/>
      <c r="M163" s="262"/>
    </row>
    <row r="164" spans="1:13" ht="14.5" x14ac:dyDescent="0.35">
      <c r="A164" s="192" t="s">
        <v>20</v>
      </c>
      <c r="B164" s="193">
        <v>45544</v>
      </c>
      <c r="C164" s="285">
        <v>3937</v>
      </c>
      <c r="D164" s="262">
        <v>5</v>
      </c>
      <c r="E164" s="224">
        <v>0</v>
      </c>
      <c r="F164" s="224">
        <v>1</v>
      </c>
      <c r="G164" s="262"/>
      <c r="H164" s="262"/>
      <c r="I164" s="262"/>
      <c r="J164" s="262"/>
      <c r="K164" s="262"/>
      <c r="L164" s="262"/>
      <c r="M164" s="262"/>
    </row>
    <row r="165" spans="1:13" ht="14.5" x14ac:dyDescent="0.35">
      <c r="A165" s="192" t="s">
        <v>22</v>
      </c>
      <c r="B165" s="193">
        <v>45545</v>
      </c>
      <c r="C165" s="285">
        <v>842</v>
      </c>
      <c r="D165" s="197">
        <v>11</v>
      </c>
      <c r="E165" s="232">
        <v>0</v>
      </c>
      <c r="F165" s="232">
        <v>2</v>
      </c>
      <c r="G165" s="262"/>
      <c r="H165" s="262"/>
      <c r="I165" s="262"/>
      <c r="J165" s="262"/>
      <c r="K165" s="262"/>
      <c r="L165" s="262"/>
      <c r="M165" s="262"/>
    </row>
    <row r="166" spans="1:13" ht="14.5" x14ac:dyDescent="0.35">
      <c r="A166" s="192" t="s">
        <v>24</v>
      </c>
      <c r="B166" s="193">
        <v>45546</v>
      </c>
      <c r="C166" s="285">
        <v>570</v>
      </c>
      <c r="D166" s="262">
        <v>15</v>
      </c>
      <c r="E166" s="224">
        <v>0</v>
      </c>
      <c r="F166" s="224">
        <v>2</v>
      </c>
      <c r="G166" s="262"/>
      <c r="H166" s="262"/>
      <c r="I166" s="262"/>
      <c r="J166" s="262"/>
      <c r="K166" s="262"/>
      <c r="L166" s="262"/>
      <c r="M166" s="262"/>
    </row>
    <row r="167" spans="1:13" ht="14.5" customHeight="1" x14ac:dyDescent="0.35">
      <c r="A167" s="192" t="s">
        <v>10</v>
      </c>
      <c r="B167" s="193">
        <v>45547</v>
      </c>
      <c r="C167" s="285">
        <v>1132</v>
      </c>
      <c r="D167" s="197"/>
      <c r="E167" s="236">
        <v>0</v>
      </c>
      <c r="F167" s="236">
        <v>0</v>
      </c>
      <c r="G167" s="262"/>
      <c r="H167" s="262"/>
      <c r="I167" s="262"/>
      <c r="J167" s="262"/>
      <c r="K167" s="262"/>
      <c r="L167" s="262"/>
      <c r="M167" s="262"/>
    </row>
    <row r="168" spans="1:13" ht="15" customHeight="1" x14ac:dyDescent="0.35">
      <c r="A168" s="192" t="s">
        <v>13</v>
      </c>
      <c r="B168" s="193">
        <v>45548</v>
      </c>
      <c r="C168" s="285">
        <v>959</v>
      </c>
      <c r="D168" s="262"/>
      <c r="E168" s="224">
        <v>0</v>
      </c>
      <c r="F168" s="224">
        <v>0</v>
      </c>
      <c r="G168" s="262"/>
      <c r="H168" s="262"/>
      <c r="I168" s="262"/>
      <c r="J168" s="262"/>
      <c r="K168" s="262"/>
      <c r="L168" s="262"/>
      <c r="M168" s="262"/>
    </row>
    <row r="169" spans="1:13" ht="16" customHeight="1" x14ac:dyDescent="0.35">
      <c r="A169" s="192" t="s">
        <v>16</v>
      </c>
      <c r="B169" s="193">
        <v>45549</v>
      </c>
      <c r="C169" s="285">
        <v>2611</v>
      </c>
      <c r="D169" s="197"/>
      <c r="E169" s="236">
        <v>0</v>
      </c>
      <c r="F169" s="236">
        <v>3</v>
      </c>
      <c r="G169" s="262"/>
      <c r="H169" s="262"/>
      <c r="I169" s="262"/>
      <c r="J169" s="262"/>
      <c r="K169" s="262"/>
      <c r="L169" s="262"/>
      <c r="M169" s="262"/>
    </row>
    <row r="170" spans="1:13" ht="14.5" customHeight="1" x14ac:dyDescent="0.35">
      <c r="A170" s="192" t="s">
        <v>18</v>
      </c>
      <c r="B170" s="193">
        <v>45550</v>
      </c>
      <c r="C170" s="285">
        <v>690</v>
      </c>
      <c r="D170" s="262"/>
      <c r="E170" s="216"/>
      <c r="F170" s="216"/>
      <c r="G170" s="262"/>
      <c r="H170" s="262"/>
      <c r="I170" s="262"/>
      <c r="J170" s="262"/>
      <c r="K170" s="262"/>
      <c r="L170" s="262"/>
      <c r="M170" s="262"/>
    </row>
    <row r="171" spans="1:13" ht="14.5" x14ac:dyDescent="0.35">
      <c r="A171" s="192" t="s">
        <v>20</v>
      </c>
      <c r="B171" s="193">
        <v>45551</v>
      </c>
      <c r="C171" s="285">
        <v>1716</v>
      </c>
      <c r="D171" s="286">
        <v>5</v>
      </c>
      <c r="E171" s="236">
        <v>0</v>
      </c>
      <c r="F171" s="236">
        <v>0</v>
      </c>
      <c r="G171" s="262"/>
      <c r="H171" s="262"/>
      <c r="I171" s="262"/>
      <c r="J171" s="262"/>
      <c r="K171" s="262"/>
      <c r="L171" s="262"/>
      <c r="M171" s="262"/>
    </row>
    <row r="172" spans="1:13" ht="14.5" x14ac:dyDescent="0.35">
      <c r="A172" s="192" t="s">
        <v>22</v>
      </c>
      <c r="B172" s="193">
        <v>45552</v>
      </c>
      <c r="C172" s="285">
        <v>190</v>
      </c>
      <c r="D172" s="481">
        <v>10</v>
      </c>
      <c r="E172" s="208">
        <v>0</v>
      </c>
      <c r="F172" s="208">
        <v>1</v>
      </c>
      <c r="G172" s="262"/>
      <c r="H172" s="262"/>
      <c r="I172" s="262"/>
      <c r="J172" s="262"/>
      <c r="K172" s="262"/>
      <c r="L172" s="262"/>
      <c r="M172" s="262"/>
    </row>
    <row r="173" spans="1:13" ht="14.5" x14ac:dyDescent="0.35">
      <c r="A173" s="192" t="s">
        <v>24</v>
      </c>
      <c r="B173" s="193">
        <v>45553</v>
      </c>
      <c r="C173" s="285">
        <v>509</v>
      </c>
      <c r="D173" s="288">
        <v>14</v>
      </c>
      <c r="E173" s="216">
        <v>0</v>
      </c>
      <c r="F173" s="216">
        <v>1</v>
      </c>
      <c r="G173" s="262"/>
      <c r="H173" s="262"/>
      <c r="I173" s="262"/>
      <c r="J173" s="262"/>
      <c r="K173" s="262"/>
      <c r="L173" s="262"/>
      <c r="M173" s="262"/>
    </row>
    <row r="174" spans="1:13" ht="15.65" customHeight="1" x14ac:dyDescent="0.35">
      <c r="A174" s="192" t="s">
        <v>10</v>
      </c>
      <c r="B174" s="193">
        <v>45554</v>
      </c>
      <c r="C174" s="285">
        <v>1339</v>
      </c>
      <c r="D174" s="481">
        <v>14</v>
      </c>
      <c r="E174" s="208">
        <v>0</v>
      </c>
      <c r="F174" s="208">
        <v>1</v>
      </c>
      <c r="G174" s="262"/>
      <c r="H174" s="262"/>
      <c r="I174" s="262"/>
      <c r="J174" s="262"/>
      <c r="K174" s="262"/>
      <c r="L174" s="262"/>
      <c r="M174" s="262"/>
    </row>
    <row r="175" spans="1:13" ht="14.5" x14ac:dyDescent="0.35">
      <c r="A175" s="192" t="s">
        <v>13</v>
      </c>
      <c r="B175" s="193">
        <v>45555</v>
      </c>
      <c r="C175" s="285">
        <v>2126</v>
      </c>
      <c r="D175" s="286">
        <v>18</v>
      </c>
      <c r="E175" s="208">
        <v>1</v>
      </c>
      <c r="F175" s="208">
        <v>0</v>
      </c>
      <c r="G175" s="262"/>
      <c r="H175" s="262"/>
      <c r="I175" s="262"/>
      <c r="J175" s="262"/>
      <c r="K175" s="262"/>
      <c r="L175" s="262"/>
      <c r="M175" s="262"/>
    </row>
    <row r="176" spans="1:13" ht="14.5" x14ac:dyDescent="0.35">
      <c r="A176" s="192" t="s">
        <v>16</v>
      </c>
      <c r="B176" s="193">
        <v>45556</v>
      </c>
      <c r="C176" s="285">
        <v>560</v>
      </c>
      <c r="D176" s="481">
        <v>9</v>
      </c>
      <c r="E176" s="236">
        <v>0</v>
      </c>
      <c r="F176" s="236">
        <v>2</v>
      </c>
      <c r="G176" s="262"/>
      <c r="H176" s="262"/>
      <c r="I176" s="262"/>
      <c r="J176" s="262"/>
      <c r="K176" s="262"/>
      <c r="L176" s="262"/>
      <c r="M176" s="262"/>
    </row>
    <row r="177" spans="1:14" ht="14.5" x14ac:dyDescent="0.35">
      <c r="A177" s="192" t="s">
        <v>18</v>
      </c>
      <c r="B177" s="193">
        <v>45557</v>
      </c>
      <c r="C177" s="285"/>
      <c r="D177" s="286"/>
      <c r="E177" s="236"/>
      <c r="F177" s="236"/>
      <c r="G177" s="262"/>
      <c r="H177" s="262"/>
      <c r="I177" s="262"/>
      <c r="J177" s="262"/>
      <c r="K177" s="262"/>
      <c r="L177" s="262"/>
      <c r="M177" s="262"/>
    </row>
    <row r="178" spans="1:14" ht="14.5" x14ac:dyDescent="0.35">
      <c r="A178" s="192" t="s">
        <v>20</v>
      </c>
      <c r="B178" s="193">
        <v>45558</v>
      </c>
      <c r="C178" s="285">
        <v>415</v>
      </c>
      <c r="D178" s="481">
        <v>9</v>
      </c>
      <c r="E178" s="208">
        <v>0</v>
      </c>
      <c r="F178" s="208">
        <v>0</v>
      </c>
      <c r="G178" s="262"/>
      <c r="H178" s="262"/>
      <c r="I178" s="262"/>
      <c r="J178" s="262"/>
      <c r="K178" s="262"/>
      <c r="L178" s="262"/>
      <c r="M178" s="262"/>
    </row>
    <row r="179" spans="1:14" ht="14.5" x14ac:dyDescent="0.35">
      <c r="A179" s="192" t="s">
        <v>22</v>
      </c>
      <c r="B179" s="193">
        <v>45559</v>
      </c>
      <c r="C179" s="285">
        <v>6439</v>
      </c>
      <c r="D179" s="286">
        <v>35</v>
      </c>
      <c r="E179" s="236">
        <v>0</v>
      </c>
      <c r="F179" s="236">
        <v>0</v>
      </c>
      <c r="G179" s="262"/>
      <c r="H179" s="262"/>
      <c r="I179" s="262"/>
      <c r="J179" s="262"/>
      <c r="K179" s="262"/>
      <c r="L179" s="262"/>
      <c r="M179" s="262"/>
    </row>
    <row r="180" spans="1:14" ht="14.5" x14ac:dyDescent="0.35">
      <c r="A180" s="192" t="s">
        <v>24</v>
      </c>
      <c r="B180" s="193">
        <v>45560</v>
      </c>
      <c r="C180" s="482">
        <v>3377</v>
      </c>
      <c r="D180" s="481">
        <v>21</v>
      </c>
      <c r="E180" s="236">
        <v>0</v>
      </c>
      <c r="F180" s="236">
        <v>1</v>
      </c>
      <c r="G180" s="262"/>
      <c r="H180" s="262"/>
      <c r="I180" s="262"/>
      <c r="J180" s="262"/>
      <c r="K180" s="262"/>
      <c r="L180" s="262"/>
      <c r="M180" s="262"/>
    </row>
    <row r="181" spans="1:14" ht="14.5" x14ac:dyDescent="0.35">
      <c r="A181" s="192" t="s">
        <v>10</v>
      </c>
      <c r="B181" s="193">
        <v>45561</v>
      </c>
      <c r="C181" s="290">
        <v>4425</v>
      </c>
      <c r="D181" s="286">
        <v>21</v>
      </c>
      <c r="E181" s="216">
        <v>0</v>
      </c>
      <c r="F181" s="216">
        <v>0</v>
      </c>
      <c r="G181" s="262"/>
      <c r="H181" s="262"/>
      <c r="I181" s="262"/>
      <c r="J181" s="262"/>
      <c r="K181" s="262"/>
      <c r="L181" s="262"/>
      <c r="M181" s="262"/>
    </row>
    <row r="182" spans="1:14" ht="14.5" x14ac:dyDescent="0.35">
      <c r="A182" s="192" t="s">
        <v>13</v>
      </c>
      <c r="B182" s="193">
        <v>45562</v>
      </c>
      <c r="C182" s="290">
        <v>570</v>
      </c>
      <c r="D182" s="481">
        <v>18</v>
      </c>
      <c r="E182" s="216">
        <v>0</v>
      </c>
      <c r="F182" s="216">
        <v>0</v>
      </c>
      <c r="G182" s="262"/>
      <c r="H182" s="262"/>
      <c r="I182" s="262"/>
      <c r="J182" s="262"/>
      <c r="K182" s="262"/>
      <c r="L182" s="262"/>
      <c r="M182" s="262"/>
    </row>
    <row r="183" spans="1:14" ht="14.5" x14ac:dyDescent="0.35">
      <c r="A183" s="192" t="s">
        <v>16</v>
      </c>
      <c r="B183" s="193">
        <v>45563</v>
      </c>
      <c r="C183" s="290">
        <v>395</v>
      </c>
      <c r="D183" s="286">
        <v>9</v>
      </c>
      <c r="E183" s="216">
        <v>0</v>
      </c>
      <c r="F183" s="216">
        <v>0</v>
      </c>
      <c r="G183" s="262"/>
      <c r="H183" s="262"/>
      <c r="I183" s="262"/>
      <c r="J183" s="262"/>
      <c r="K183" s="262"/>
      <c r="L183" s="262"/>
      <c r="M183" s="262"/>
    </row>
    <row r="184" spans="1:14" ht="14.5" x14ac:dyDescent="0.35">
      <c r="A184" s="192" t="s">
        <v>18</v>
      </c>
      <c r="B184" s="193">
        <v>45564</v>
      </c>
      <c r="C184" s="290"/>
      <c r="D184" s="481"/>
      <c r="E184" s="216"/>
      <c r="F184" s="216"/>
      <c r="G184" s="262"/>
      <c r="H184" s="262"/>
      <c r="I184" s="262"/>
      <c r="J184" s="262"/>
      <c r="K184" s="262"/>
      <c r="L184" s="262"/>
      <c r="M184" s="262"/>
    </row>
    <row r="185" spans="1:14" ht="14.5" x14ac:dyDescent="0.35">
      <c r="A185" s="192" t="s">
        <v>20</v>
      </c>
      <c r="B185" s="583">
        <v>45565</v>
      </c>
      <c r="C185" s="283">
        <v>540</v>
      </c>
      <c r="D185" s="262">
        <v>9</v>
      </c>
      <c r="E185" s="216">
        <v>0</v>
      </c>
      <c r="F185" s="216">
        <v>0</v>
      </c>
      <c r="G185" s="262"/>
      <c r="H185" s="262"/>
      <c r="I185" s="262"/>
      <c r="J185" s="262"/>
      <c r="K185" s="262"/>
      <c r="L185" s="262"/>
      <c r="M185" s="262"/>
    </row>
    <row r="186" spans="1:14" ht="14.5" x14ac:dyDescent="0.35">
      <c r="A186" s="192"/>
      <c r="B186" s="193"/>
      <c r="C186" s="479"/>
      <c r="D186" s="197"/>
      <c r="E186" s="216"/>
      <c r="F186" s="216"/>
      <c r="G186" s="262"/>
      <c r="H186" s="262"/>
      <c r="I186" s="262"/>
      <c r="J186" s="262"/>
      <c r="K186" s="262"/>
      <c r="L186" s="262"/>
      <c r="M186" s="262"/>
    </row>
    <row r="187" spans="1:14" ht="14.5" x14ac:dyDescent="0.35">
      <c r="A187" s="257"/>
      <c r="B187" s="483"/>
      <c r="C187" s="484">
        <f>SUM(C155:C186)</f>
        <v>47105</v>
      </c>
      <c r="D187" s="485">
        <f>SUM(D155:D186)</f>
        <v>304</v>
      </c>
      <c r="E187" s="486">
        <f>SUM(E155:E186)</f>
        <v>1</v>
      </c>
      <c r="F187" s="487">
        <f>SUM(F155:F186)</f>
        <v>15</v>
      </c>
      <c r="G187" s="262"/>
      <c r="H187" s="262"/>
      <c r="I187" s="262"/>
      <c r="J187" s="262"/>
      <c r="K187" s="262"/>
      <c r="L187" s="262"/>
      <c r="M187" s="262"/>
    </row>
    <row r="188" spans="1:14" ht="14.5" x14ac:dyDescent="0.35">
      <c r="A188" s="262"/>
      <c r="B188" s="433"/>
      <c r="C188" s="508"/>
      <c r="D188" s="262"/>
      <c r="E188" s="508"/>
      <c r="F188" s="262"/>
      <c r="G188" s="262"/>
      <c r="H188" s="262"/>
      <c r="I188" s="262"/>
      <c r="J188" s="262"/>
      <c r="K188" s="262"/>
      <c r="L188" s="262"/>
      <c r="M188" s="262"/>
    </row>
    <row r="189" spans="1:14" ht="14.5" x14ac:dyDescent="0.35">
      <c r="A189" s="262"/>
      <c r="B189" s="262"/>
      <c r="C189" s="511"/>
      <c r="D189" s="511"/>
      <c r="E189" s="475"/>
      <c r="F189" s="511"/>
      <c r="G189" s="511"/>
      <c r="H189" s="262"/>
      <c r="I189" s="262"/>
      <c r="J189" s="262"/>
      <c r="K189" s="262"/>
      <c r="L189" s="262"/>
      <c r="M189" s="262"/>
    </row>
    <row r="190" spans="1:14" thickBot="1" x14ac:dyDescent="0.4">
      <c r="A190" s="262"/>
      <c r="D190" s="511"/>
    </row>
    <row r="191" spans="1:14" ht="14.5" x14ac:dyDescent="0.35">
      <c r="A191" s="520"/>
      <c r="B191" s="521" t="s">
        <v>107</v>
      </c>
      <c r="C191" s="522" t="s">
        <v>93</v>
      </c>
      <c r="D191" s="523"/>
      <c r="E191" s="511"/>
      <c r="F191" s="518" t="s">
        <v>111</v>
      </c>
      <c r="G191" s="518" t="s">
        <v>112</v>
      </c>
      <c r="H191" s="518" t="s">
        <v>113</v>
      </c>
      <c r="I191" s="518" t="s">
        <v>114</v>
      </c>
      <c r="J191" s="518" t="s">
        <v>103</v>
      </c>
      <c r="K191" s="518" t="s">
        <v>104</v>
      </c>
      <c r="L191" s="518" t="s">
        <v>105</v>
      </c>
      <c r="M191" s="518" t="s">
        <v>106</v>
      </c>
      <c r="N191" s="569" t="s">
        <v>98</v>
      </c>
    </row>
    <row r="192" spans="1:14" ht="14.5" x14ac:dyDescent="0.35">
      <c r="A192" s="434" t="s">
        <v>99</v>
      </c>
      <c r="B192" s="469">
        <f>C35/25*25</f>
        <v>62987</v>
      </c>
      <c r="C192" s="470">
        <f>B192-72000</f>
        <v>-9013</v>
      </c>
      <c r="D192" s="523"/>
      <c r="E192" s="567" t="s">
        <v>99</v>
      </c>
      <c r="F192" s="527">
        <v>59678</v>
      </c>
      <c r="G192" s="525">
        <v>65325</v>
      </c>
      <c r="H192" s="526">
        <v>71363</v>
      </c>
      <c r="I192" s="526">
        <v>75374</v>
      </c>
      <c r="J192" s="527">
        <v>72600</v>
      </c>
      <c r="K192" s="574">
        <v>72030</v>
      </c>
      <c r="L192" s="574">
        <v>72545</v>
      </c>
      <c r="M192" s="527">
        <v>75155</v>
      </c>
      <c r="N192" s="570">
        <f>AVERAGE(F192:M192)</f>
        <v>70508.75</v>
      </c>
    </row>
    <row r="193" spans="1:14" ht="14.5" x14ac:dyDescent="0.35">
      <c r="A193" s="439" t="s">
        <v>37</v>
      </c>
      <c r="B193" s="469">
        <f>C74/25*25</f>
        <v>60228</v>
      </c>
      <c r="C193" s="465">
        <f>B193-54000</f>
        <v>6228</v>
      </c>
      <c r="D193" s="523"/>
      <c r="E193" s="567" t="s">
        <v>37</v>
      </c>
      <c r="F193" s="527">
        <v>43365</v>
      </c>
      <c r="G193" s="525">
        <v>38287</v>
      </c>
      <c r="H193" s="526">
        <v>45858</v>
      </c>
      <c r="I193" s="526">
        <v>55612</v>
      </c>
      <c r="J193" s="527">
        <v>53980</v>
      </c>
      <c r="K193" s="574">
        <v>49420</v>
      </c>
      <c r="L193" s="574">
        <v>54821</v>
      </c>
      <c r="M193" s="527">
        <v>56018</v>
      </c>
      <c r="N193" s="570">
        <f>AVERAGE(F193:M193)</f>
        <v>49670.125</v>
      </c>
    </row>
    <row r="194" spans="1:14" ht="14.5" x14ac:dyDescent="0.35">
      <c r="A194" s="439" t="s">
        <v>100</v>
      </c>
      <c r="B194" s="469">
        <f>C110/25*25</f>
        <v>56294.000000000007</v>
      </c>
      <c r="C194" s="465">
        <f>B194-52000</f>
        <v>4294.0000000000073</v>
      </c>
      <c r="D194" s="523"/>
      <c r="E194" s="567" t="s">
        <v>100</v>
      </c>
      <c r="F194" s="527">
        <v>43344</v>
      </c>
      <c r="G194" s="525">
        <v>54088</v>
      </c>
      <c r="H194" s="526">
        <v>56961</v>
      </c>
      <c r="I194" s="526">
        <v>56144</v>
      </c>
      <c r="J194" s="527">
        <v>54118</v>
      </c>
      <c r="K194" s="574">
        <v>58320</v>
      </c>
      <c r="L194" s="574">
        <v>51390</v>
      </c>
      <c r="M194" s="527">
        <v>60136.999999999993</v>
      </c>
      <c r="N194" s="570">
        <f>AVERAGE(F194:M194)</f>
        <v>54312.75</v>
      </c>
    </row>
    <row r="195" spans="1:14" ht="14.5" x14ac:dyDescent="0.35">
      <c r="A195" s="463" t="s">
        <v>70</v>
      </c>
      <c r="B195" s="469">
        <f>C148/25*25</f>
        <v>46460</v>
      </c>
      <c r="C195" s="470">
        <f>B195-52000</f>
        <v>-5540</v>
      </c>
      <c r="D195" s="262"/>
      <c r="E195" s="568" t="s">
        <v>70</v>
      </c>
      <c r="F195" s="532"/>
      <c r="G195" s="530"/>
      <c r="H195" s="531"/>
      <c r="I195" s="531"/>
      <c r="J195" s="532"/>
      <c r="K195" s="575"/>
      <c r="L195" s="575">
        <v>15641</v>
      </c>
      <c r="M195" s="527">
        <v>49296</v>
      </c>
      <c r="N195" s="570">
        <f>SUM(M195)</f>
        <v>49296</v>
      </c>
    </row>
    <row r="196" spans="1:14" thickBot="1" x14ac:dyDescent="0.4">
      <c r="A196" s="440" t="s">
        <v>88</v>
      </c>
      <c r="B196" s="469">
        <f>C187/25*25</f>
        <v>47105</v>
      </c>
      <c r="C196" s="534"/>
      <c r="D196" s="262"/>
      <c r="E196" s="567" t="s">
        <v>88</v>
      </c>
      <c r="F196" s="527">
        <v>34063</v>
      </c>
      <c r="G196" s="525">
        <v>44190</v>
      </c>
      <c r="H196" s="526">
        <v>32129</v>
      </c>
      <c r="I196" s="526">
        <v>67460</v>
      </c>
      <c r="J196" s="527">
        <v>57984</v>
      </c>
      <c r="K196" s="574">
        <v>47444</v>
      </c>
      <c r="L196" s="574">
        <v>56888</v>
      </c>
      <c r="M196" s="576">
        <v>64418</v>
      </c>
      <c r="N196" s="570">
        <f>AVERAGE(F196:M196)</f>
        <v>50572</v>
      </c>
    </row>
    <row r="197" spans="1:14" thickBot="1" x14ac:dyDescent="0.4">
      <c r="A197" s="441" t="s">
        <v>101</v>
      </c>
      <c r="B197" s="537">
        <f>SUM(B192:B196)</f>
        <v>273074</v>
      </c>
      <c r="C197" s="471">
        <f>SUM(C192:C196)</f>
        <v>-4030.9999999999927</v>
      </c>
      <c r="E197" s="535" t="s">
        <v>101</v>
      </c>
      <c r="F197" s="571">
        <v>180450</v>
      </c>
      <c r="G197" s="572">
        <f>SUM(G192:G196)</f>
        <v>201890</v>
      </c>
      <c r="H197" s="572">
        <f>SUM(H192:H196)</f>
        <v>206311</v>
      </c>
      <c r="I197" s="572">
        <f>SUM(I192:I196)</f>
        <v>254590</v>
      </c>
      <c r="J197" s="572">
        <f>SUM(J192:J196)</f>
        <v>238682</v>
      </c>
      <c r="K197" s="572">
        <f>SUM(K192:K196)</f>
        <v>227214</v>
      </c>
      <c r="L197" s="572">
        <v>251285</v>
      </c>
      <c r="M197" s="573">
        <v>305024</v>
      </c>
      <c r="N197" s="536">
        <f>SUM(N192:N196)</f>
        <v>274359.625</v>
      </c>
    </row>
    <row r="198" spans="1:14" ht="14.5" x14ac:dyDescent="0.35">
      <c r="B198" s="444">
        <f>B197/27</f>
        <v>10113.851851851852</v>
      </c>
      <c r="D198" s="262"/>
      <c r="F198" s="446">
        <f>F197/27</f>
        <v>6683.333333333333</v>
      </c>
      <c r="G198" s="446">
        <f>G197/25</f>
        <v>8075.6</v>
      </c>
      <c r="H198" s="446">
        <f>H197/26</f>
        <v>7935.0384615384619</v>
      </c>
      <c r="I198" s="446">
        <f>I197/26</f>
        <v>9791.9230769230762</v>
      </c>
      <c r="J198" s="446">
        <f>J197/26</f>
        <v>9180.0769230769238</v>
      </c>
      <c r="K198" s="446">
        <f>K197/25</f>
        <v>9088.56</v>
      </c>
      <c r="L198" s="446">
        <v>9664.8076923076915</v>
      </c>
      <c r="M198" s="446">
        <v>11297.185185185184</v>
      </c>
      <c r="N198" s="446">
        <f>AVERAGE(F198:M198)</f>
        <v>8964.5655840455838</v>
      </c>
    </row>
    <row r="199" spans="1:14" ht="14.5" x14ac:dyDescent="0.35">
      <c r="B199" s="523"/>
      <c r="C199" s="433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</row>
    <row r="200" spans="1:14" ht="14.5" x14ac:dyDescent="0.35">
      <c r="A200" s="538" t="s">
        <v>102</v>
      </c>
      <c r="B200" s="538" t="s">
        <v>120</v>
      </c>
      <c r="C200" s="538" t="s">
        <v>121</v>
      </c>
      <c r="D200" s="538" t="s">
        <v>122</v>
      </c>
      <c r="E200" s="539" t="s">
        <v>123</v>
      </c>
      <c r="F200" s="538" t="s">
        <v>124</v>
      </c>
      <c r="G200" s="538" t="s">
        <v>125</v>
      </c>
      <c r="H200" s="538" t="s">
        <v>126</v>
      </c>
      <c r="I200" s="538" t="s">
        <v>127</v>
      </c>
      <c r="J200" s="538" t="s">
        <v>116</v>
      </c>
      <c r="K200" s="539" t="s">
        <v>117</v>
      </c>
      <c r="L200" s="538" t="s">
        <v>118</v>
      </c>
      <c r="M200" s="538" t="s">
        <v>119</v>
      </c>
      <c r="N200" s="342" t="s">
        <v>98</v>
      </c>
    </row>
    <row r="201" spans="1:14" ht="14.5" x14ac:dyDescent="0.35">
      <c r="A201" s="540" t="s">
        <v>99</v>
      </c>
      <c r="B201" s="540">
        <v>62209</v>
      </c>
      <c r="C201" s="540">
        <v>61961</v>
      </c>
      <c r="D201" s="540">
        <v>62927</v>
      </c>
      <c r="E201" s="541">
        <v>50792</v>
      </c>
      <c r="F201" s="540">
        <v>55786</v>
      </c>
      <c r="G201" s="540">
        <v>48081</v>
      </c>
      <c r="H201" s="540">
        <v>66142</v>
      </c>
      <c r="I201" s="540">
        <v>58127</v>
      </c>
      <c r="J201" s="540">
        <v>74979</v>
      </c>
      <c r="K201" s="541">
        <v>63950</v>
      </c>
      <c r="L201" s="540">
        <v>73973</v>
      </c>
      <c r="M201" s="540">
        <v>63776</v>
      </c>
      <c r="N201" s="330">
        <f>AVERAGE(B201:K201)</f>
        <v>60495.4</v>
      </c>
    </row>
    <row r="202" spans="1:14" ht="14.5" x14ac:dyDescent="0.35">
      <c r="A202" s="540" t="s">
        <v>37</v>
      </c>
      <c r="B202" s="540">
        <v>49882</v>
      </c>
      <c r="C202" s="540">
        <v>42564</v>
      </c>
      <c r="D202" s="540">
        <v>44217</v>
      </c>
      <c r="E202" s="541">
        <v>42911</v>
      </c>
      <c r="F202" s="540">
        <v>40388</v>
      </c>
      <c r="G202" s="540">
        <v>32034</v>
      </c>
      <c r="H202" s="540">
        <v>38086</v>
      </c>
      <c r="I202" s="540">
        <v>42706</v>
      </c>
      <c r="J202" s="540">
        <v>48870</v>
      </c>
      <c r="K202" s="541">
        <v>44783</v>
      </c>
      <c r="L202" s="540">
        <v>58612</v>
      </c>
      <c r="M202" s="540">
        <v>59247</v>
      </c>
      <c r="N202" s="330">
        <f>AVERAGE(B202:K202)</f>
        <v>42644.1</v>
      </c>
    </row>
    <row r="203" spans="1:14" ht="14.5" x14ac:dyDescent="0.35">
      <c r="A203" s="540" t="s">
        <v>100</v>
      </c>
      <c r="B203" s="540">
        <v>47219</v>
      </c>
      <c r="C203" s="540">
        <v>49140</v>
      </c>
      <c r="D203" s="540">
        <v>45889</v>
      </c>
      <c r="E203" s="541">
        <v>42002</v>
      </c>
      <c r="F203" s="540">
        <v>29164</v>
      </c>
      <c r="G203" s="540">
        <v>24425</v>
      </c>
      <c r="H203" s="540">
        <v>32384</v>
      </c>
      <c r="I203" s="540">
        <v>26635</v>
      </c>
      <c r="J203" s="540">
        <v>38487</v>
      </c>
      <c r="K203" s="541">
        <v>41827</v>
      </c>
      <c r="L203" s="540">
        <v>48432</v>
      </c>
      <c r="M203" s="540">
        <v>45807</v>
      </c>
      <c r="N203" s="330">
        <f>AVERAGE(B203:K203)</f>
        <v>37717.199999999997</v>
      </c>
    </row>
    <row r="204" spans="1:14" ht="14.5" x14ac:dyDescent="0.35">
      <c r="A204" s="540" t="s">
        <v>88</v>
      </c>
      <c r="B204" s="540">
        <v>73495</v>
      </c>
      <c r="C204" s="540">
        <v>77358</v>
      </c>
      <c r="D204" s="540">
        <v>75185</v>
      </c>
      <c r="E204" s="541">
        <v>62889</v>
      </c>
      <c r="F204" s="540">
        <v>78647</v>
      </c>
      <c r="G204" s="540">
        <v>71233</v>
      </c>
      <c r="H204" s="540">
        <v>80881</v>
      </c>
      <c r="I204" s="540">
        <v>89693</v>
      </c>
      <c r="J204" s="540">
        <v>115741.16666666666</v>
      </c>
      <c r="K204" s="541">
        <v>92550</v>
      </c>
      <c r="L204" s="540">
        <v>102728</v>
      </c>
      <c r="M204" s="540">
        <v>102029</v>
      </c>
      <c r="N204" s="330">
        <f>AVERAGE(B204:K204)</f>
        <v>81767.21666666666</v>
      </c>
    </row>
    <row r="205" spans="1:14" ht="14.5" x14ac:dyDescent="0.35">
      <c r="A205" s="542" t="s">
        <v>101</v>
      </c>
      <c r="B205" s="543">
        <v>232805</v>
      </c>
      <c r="C205" s="543">
        <v>231023</v>
      </c>
      <c r="D205" s="543">
        <v>228218</v>
      </c>
      <c r="E205" s="544">
        <v>198594</v>
      </c>
      <c r="F205" s="543">
        <v>203985</v>
      </c>
      <c r="G205" s="543">
        <v>175773</v>
      </c>
      <c r="H205" s="543">
        <v>217493</v>
      </c>
      <c r="I205" s="543">
        <v>217161</v>
      </c>
      <c r="J205" s="543">
        <f>SUM(J201:J204)</f>
        <v>278077.16666666663</v>
      </c>
      <c r="K205" s="543">
        <f>SUM(K201:K204)</f>
        <v>243110</v>
      </c>
      <c r="L205" s="543">
        <v>283745</v>
      </c>
      <c r="M205" s="543">
        <v>270859</v>
      </c>
      <c r="N205" s="536">
        <f>AVERAGE(B205:K205)</f>
        <v>222623.91666666666</v>
      </c>
    </row>
    <row r="206" spans="1:14" ht="14.5" x14ac:dyDescent="0.35">
      <c r="A206" s="545" t="s">
        <v>607</v>
      </c>
      <c r="G206" s="262"/>
      <c r="H206" s="262"/>
      <c r="I206" s="262"/>
      <c r="J206" s="262"/>
      <c r="K206" s="262"/>
    </row>
    <row r="207" spans="1:14" ht="14.5" x14ac:dyDescent="0.35"/>
    <row r="208" spans="1:14" ht="14.5" x14ac:dyDescent="0.35">
      <c r="A208" s="538" t="s">
        <v>102</v>
      </c>
      <c r="B208" s="538" t="s">
        <v>132</v>
      </c>
      <c r="C208" s="538" t="s">
        <v>133</v>
      </c>
      <c r="D208" s="538" t="s">
        <v>134</v>
      </c>
      <c r="E208" s="539" t="s">
        <v>135</v>
      </c>
      <c r="F208" s="546" t="s">
        <v>136</v>
      </c>
      <c r="G208" s="538" t="s">
        <v>137</v>
      </c>
      <c r="H208" s="538" t="s">
        <v>138</v>
      </c>
      <c r="I208" s="538" t="s">
        <v>139</v>
      </c>
      <c r="J208" s="538" t="s">
        <v>128</v>
      </c>
      <c r="K208" s="539" t="s">
        <v>129</v>
      </c>
      <c r="L208" s="538" t="s">
        <v>130</v>
      </c>
      <c r="M208" s="538" t="s">
        <v>131</v>
      </c>
      <c r="N208" s="342" t="s">
        <v>98</v>
      </c>
    </row>
    <row r="209" spans="1:14" ht="14.5" x14ac:dyDescent="0.35">
      <c r="A209" s="547" t="s">
        <v>99</v>
      </c>
      <c r="B209" s="549">
        <v>55027</v>
      </c>
      <c r="C209" s="549">
        <v>54932</v>
      </c>
      <c r="D209" s="549">
        <v>43776</v>
      </c>
      <c r="E209" s="550">
        <v>49810</v>
      </c>
      <c r="F209" s="525">
        <v>75616</v>
      </c>
      <c r="G209" s="548">
        <v>68029</v>
      </c>
      <c r="H209" s="548">
        <v>59606</v>
      </c>
      <c r="I209" s="548">
        <v>63396</v>
      </c>
      <c r="J209" s="548">
        <v>52819.21</v>
      </c>
      <c r="K209" s="551">
        <v>53324</v>
      </c>
      <c r="L209" s="548">
        <v>61519</v>
      </c>
      <c r="M209" s="548">
        <v>70743</v>
      </c>
      <c r="N209" s="329">
        <f>AVERAGE(B209:K209)</f>
        <v>57633.520999999993</v>
      </c>
    </row>
    <row r="210" spans="1:14" ht="14.5" x14ac:dyDescent="0.35">
      <c r="A210" s="547" t="s">
        <v>37</v>
      </c>
      <c r="B210" s="549">
        <v>41079</v>
      </c>
      <c r="C210" s="549">
        <v>39875</v>
      </c>
      <c r="D210" s="549">
        <v>35835</v>
      </c>
      <c r="E210" s="550">
        <v>28946</v>
      </c>
      <c r="F210" s="525">
        <v>43422</v>
      </c>
      <c r="G210" s="548">
        <v>35147</v>
      </c>
      <c r="H210" s="548">
        <v>37370</v>
      </c>
      <c r="I210" s="548">
        <v>39971</v>
      </c>
      <c r="J210" s="548">
        <v>33459.82</v>
      </c>
      <c r="K210" s="551">
        <v>39860</v>
      </c>
      <c r="L210" s="548">
        <v>41717</v>
      </c>
      <c r="M210" s="548">
        <v>40181</v>
      </c>
      <c r="N210" s="329">
        <f>AVERAGE(B210:K210)</f>
        <v>37496.482000000004</v>
      </c>
    </row>
    <row r="211" spans="1:14" ht="14.5" x14ac:dyDescent="0.35">
      <c r="A211" s="547" t="s">
        <v>100</v>
      </c>
      <c r="B211" s="549">
        <v>20924</v>
      </c>
      <c r="C211" s="549">
        <v>23756</v>
      </c>
      <c r="D211" s="549">
        <v>18015</v>
      </c>
      <c r="E211" s="550">
        <v>15778</v>
      </c>
      <c r="F211" s="546" t="s">
        <v>140</v>
      </c>
      <c r="G211" s="538"/>
      <c r="H211" s="538"/>
      <c r="I211" s="548">
        <v>3428</v>
      </c>
      <c r="J211" s="548">
        <v>13471.49</v>
      </c>
      <c r="K211" s="551">
        <v>12544</v>
      </c>
      <c r="L211" s="548">
        <v>13788</v>
      </c>
      <c r="M211" s="548">
        <v>17451</v>
      </c>
      <c r="N211" s="329">
        <f>AVERAGE(B211:K211)</f>
        <v>15416.641428571429</v>
      </c>
    </row>
    <row r="212" spans="1:14" ht="14.5" x14ac:dyDescent="0.35">
      <c r="A212" s="547" t="s">
        <v>88</v>
      </c>
      <c r="B212" s="549">
        <v>89947</v>
      </c>
      <c r="C212" s="549">
        <v>99078</v>
      </c>
      <c r="D212" s="549">
        <v>75226</v>
      </c>
      <c r="E212" s="550">
        <v>76874</v>
      </c>
      <c r="F212" s="525">
        <v>51000</v>
      </c>
      <c r="G212" s="548">
        <v>41240</v>
      </c>
      <c r="H212" s="548">
        <v>47352</v>
      </c>
      <c r="I212" s="548">
        <v>49038</v>
      </c>
      <c r="J212" s="548">
        <v>21042</v>
      </c>
      <c r="K212" s="551">
        <v>35748</v>
      </c>
      <c r="L212" s="548">
        <v>44347</v>
      </c>
      <c r="M212" s="548">
        <v>72570</v>
      </c>
      <c r="N212" s="329">
        <f>AVERAGE(B212:K212)</f>
        <v>58654.5</v>
      </c>
    </row>
    <row r="213" spans="1:14" ht="14.5" x14ac:dyDescent="0.35">
      <c r="A213" s="542" t="s">
        <v>101</v>
      </c>
      <c r="B213" s="543">
        <v>206977</v>
      </c>
      <c r="C213" s="543">
        <v>217641</v>
      </c>
      <c r="D213" s="543">
        <v>172852</v>
      </c>
      <c r="E213" s="544">
        <v>171408</v>
      </c>
      <c r="F213" s="553">
        <v>170038</v>
      </c>
      <c r="G213" s="552">
        <f t="shared" ref="G213:L213" si="2">SUM(G209:G212)</f>
        <v>144416</v>
      </c>
      <c r="H213" s="552">
        <f t="shared" si="2"/>
        <v>144328</v>
      </c>
      <c r="I213" s="552">
        <f t="shared" si="2"/>
        <v>155833</v>
      </c>
      <c r="J213" s="552">
        <f t="shared" si="2"/>
        <v>120792.52</v>
      </c>
      <c r="K213" s="552">
        <f t="shared" si="2"/>
        <v>141476</v>
      </c>
      <c r="L213" s="552">
        <f t="shared" si="2"/>
        <v>161371</v>
      </c>
      <c r="M213" s="552">
        <f>SUM(M209:M212)</f>
        <v>200945</v>
      </c>
      <c r="N213" s="552">
        <f>AVERAGE(B213:K213)</f>
        <v>164576.152</v>
      </c>
    </row>
    <row r="214" spans="1:14" ht="14.5" x14ac:dyDescent="0.35"/>
    <row r="215" spans="1:14" ht="14.5" x14ac:dyDescent="0.35">
      <c r="A215" s="542"/>
      <c r="B215" s="542"/>
      <c r="C215" s="562" t="s">
        <v>141</v>
      </c>
      <c r="D215" s="542" t="s">
        <v>142</v>
      </c>
      <c r="I215" s="262"/>
      <c r="J215" s="262"/>
      <c r="K215" s="262"/>
      <c r="L215" s="262"/>
      <c r="M215" s="262"/>
    </row>
    <row r="216" spans="1:14" s="580" customFormat="1" ht="14.5" x14ac:dyDescent="0.35">
      <c r="A216" s="577" t="s">
        <v>18</v>
      </c>
      <c r="B216" s="578">
        <v>45536</v>
      </c>
      <c r="C216" s="579">
        <f t="shared" ref="C216:C245" si="3">C4+C43+C79+C117+C156</f>
        <v>0</v>
      </c>
      <c r="D216" s="579">
        <f>C216</f>
        <v>0</v>
      </c>
    </row>
    <row r="217" spans="1:14" ht="14.5" x14ac:dyDescent="0.35">
      <c r="A217" s="560" t="s">
        <v>20</v>
      </c>
      <c r="B217" s="561">
        <v>45537</v>
      </c>
      <c r="C217" s="491">
        <f t="shared" si="3"/>
        <v>6137</v>
      </c>
      <c r="D217" s="491">
        <f>C216+C217</f>
        <v>6137</v>
      </c>
    </row>
    <row r="218" spans="1:14" ht="14.5" x14ac:dyDescent="0.35">
      <c r="A218" s="560" t="s">
        <v>22</v>
      </c>
      <c r="B218" s="561">
        <v>45538</v>
      </c>
      <c r="C218" s="491">
        <f t="shared" si="3"/>
        <v>13988</v>
      </c>
      <c r="D218" s="491">
        <f t="shared" ref="D218:D245" si="4">D217+C218</f>
        <v>20125</v>
      </c>
    </row>
    <row r="219" spans="1:14" ht="14.5" x14ac:dyDescent="0.35">
      <c r="A219" s="560" t="s">
        <v>24</v>
      </c>
      <c r="B219" s="561">
        <v>45539</v>
      </c>
      <c r="C219" s="491">
        <f t="shared" si="3"/>
        <v>12585</v>
      </c>
      <c r="D219" s="491">
        <f t="shared" si="4"/>
        <v>32710</v>
      </c>
    </row>
    <row r="220" spans="1:14" ht="14.5" x14ac:dyDescent="0.35">
      <c r="A220" s="560" t="s">
        <v>10</v>
      </c>
      <c r="B220" s="561">
        <v>45540</v>
      </c>
      <c r="C220" s="491">
        <f t="shared" si="3"/>
        <v>11046</v>
      </c>
      <c r="D220" s="491">
        <f t="shared" si="4"/>
        <v>43756</v>
      </c>
    </row>
    <row r="221" spans="1:14" ht="14.5" x14ac:dyDescent="0.35">
      <c r="A221" s="560" t="s">
        <v>13</v>
      </c>
      <c r="B221" s="561">
        <v>45541</v>
      </c>
      <c r="C221" s="491">
        <f t="shared" si="3"/>
        <v>8374</v>
      </c>
      <c r="D221" s="491">
        <f t="shared" si="4"/>
        <v>52130</v>
      </c>
    </row>
    <row r="222" spans="1:14" ht="14.5" x14ac:dyDescent="0.35">
      <c r="A222" s="560" t="s">
        <v>16</v>
      </c>
      <c r="B222" s="561">
        <v>45542</v>
      </c>
      <c r="C222" s="491">
        <f t="shared" si="3"/>
        <v>11626</v>
      </c>
      <c r="D222" s="491">
        <f t="shared" si="4"/>
        <v>63756</v>
      </c>
      <c r="I222" s="554"/>
      <c r="J222" s="554"/>
      <c r="K222" s="554"/>
      <c r="L222" s="555"/>
      <c r="M222" s="554"/>
    </row>
    <row r="223" spans="1:14" ht="14.5" x14ac:dyDescent="0.35">
      <c r="A223" s="560" t="s">
        <v>18</v>
      </c>
      <c r="B223" s="561">
        <v>45543</v>
      </c>
      <c r="C223" s="491">
        <f t="shared" si="3"/>
        <v>3998</v>
      </c>
      <c r="D223" s="491">
        <f t="shared" si="4"/>
        <v>67754</v>
      </c>
    </row>
    <row r="224" spans="1:14" ht="14.5" x14ac:dyDescent="0.35">
      <c r="A224" s="560" t="s">
        <v>20</v>
      </c>
      <c r="B224" s="561">
        <v>45544</v>
      </c>
      <c r="C224" s="491">
        <f t="shared" si="3"/>
        <v>14088</v>
      </c>
      <c r="D224" s="491">
        <f t="shared" si="4"/>
        <v>81842</v>
      </c>
    </row>
    <row r="225" spans="1:4" ht="14.5" x14ac:dyDescent="0.35">
      <c r="A225" s="560" t="s">
        <v>22</v>
      </c>
      <c r="B225" s="561">
        <v>45545</v>
      </c>
      <c r="C225" s="491">
        <f t="shared" si="3"/>
        <v>9024</v>
      </c>
      <c r="D225" s="491">
        <f t="shared" si="4"/>
        <v>90866</v>
      </c>
    </row>
    <row r="226" spans="1:4" ht="14.5" x14ac:dyDescent="0.35">
      <c r="A226" s="560" t="s">
        <v>24</v>
      </c>
      <c r="B226" s="561">
        <v>45546</v>
      </c>
      <c r="C226" s="491">
        <f t="shared" si="3"/>
        <v>10612</v>
      </c>
      <c r="D226" s="491">
        <f t="shared" si="4"/>
        <v>101478</v>
      </c>
    </row>
    <row r="227" spans="1:4" ht="14.5" x14ac:dyDescent="0.35">
      <c r="A227" s="560" t="s">
        <v>10</v>
      </c>
      <c r="B227" s="561">
        <v>45547</v>
      </c>
      <c r="C227" s="491">
        <f t="shared" si="3"/>
        <v>7046</v>
      </c>
      <c r="D227" s="491">
        <f t="shared" si="4"/>
        <v>108524</v>
      </c>
    </row>
    <row r="228" spans="1:4" ht="14.5" x14ac:dyDescent="0.35">
      <c r="A228" s="560" t="s">
        <v>13</v>
      </c>
      <c r="B228" s="561">
        <v>45548</v>
      </c>
      <c r="C228" s="491">
        <f t="shared" si="3"/>
        <v>11294</v>
      </c>
      <c r="D228" s="491">
        <f t="shared" si="4"/>
        <v>119818</v>
      </c>
    </row>
    <row r="229" spans="1:4" ht="14.5" x14ac:dyDescent="0.35">
      <c r="A229" s="560" t="s">
        <v>16</v>
      </c>
      <c r="B229" s="561">
        <v>45549</v>
      </c>
      <c r="C229" s="491">
        <f t="shared" si="3"/>
        <v>12801</v>
      </c>
      <c r="D229" s="491">
        <f t="shared" si="4"/>
        <v>132619</v>
      </c>
    </row>
    <row r="230" spans="1:4" s="580" customFormat="1" ht="14.5" x14ac:dyDescent="0.35">
      <c r="A230" s="581" t="s">
        <v>18</v>
      </c>
      <c r="B230" s="582">
        <v>45550</v>
      </c>
      <c r="C230" s="579">
        <f t="shared" si="3"/>
        <v>690</v>
      </c>
      <c r="D230" s="579">
        <f t="shared" si="4"/>
        <v>133309</v>
      </c>
    </row>
    <row r="231" spans="1:4" ht="14.5" x14ac:dyDescent="0.35">
      <c r="A231" s="560" t="s">
        <v>20</v>
      </c>
      <c r="B231" s="561">
        <v>45551</v>
      </c>
      <c r="C231" s="491">
        <f t="shared" si="3"/>
        <v>11151</v>
      </c>
      <c r="D231" s="491">
        <f t="shared" si="4"/>
        <v>144460</v>
      </c>
    </row>
    <row r="232" spans="1:4" ht="14.5" x14ac:dyDescent="0.35">
      <c r="A232" s="560" t="s">
        <v>22</v>
      </c>
      <c r="B232" s="561">
        <v>45552</v>
      </c>
      <c r="C232" s="491">
        <f t="shared" si="3"/>
        <v>7564</v>
      </c>
      <c r="D232" s="491">
        <f t="shared" si="4"/>
        <v>152024</v>
      </c>
    </row>
    <row r="233" spans="1:4" ht="14.5" x14ac:dyDescent="0.35">
      <c r="A233" s="560" t="s">
        <v>24</v>
      </c>
      <c r="B233" s="561">
        <v>45553</v>
      </c>
      <c r="C233" s="491">
        <f t="shared" si="3"/>
        <v>7250</v>
      </c>
      <c r="D233" s="491">
        <f t="shared" si="4"/>
        <v>159274</v>
      </c>
    </row>
    <row r="234" spans="1:4" ht="14.5" x14ac:dyDescent="0.35">
      <c r="A234" s="560" t="s">
        <v>10</v>
      </c>
      <c r="B234" s="561">
        <v>45554</v>
      </c>
      <c r="C234" s="491">
        <f t="shared" si="3"/>
        <v>9101</v>
      </c>
      <c r="D234" s="491">
        <f t="shared" si="4"/>
        <v>168375</v>
      </c>
    </row>
    <row r="235" spans="1:4" ht="15" customHeight="1" x14ac:dyDescent="0.35">
      <c r="A235" s="560" t="s">
        <v>13</v>
      </c>
      <c r="B235" s="561">
        <v>45555</v>
      </c>
      <c r="C235" s="491">
        <f t="shared" si="3"/>
        <v>11368</v>
      </c>
      <c r="D235" s="491">
        <f t="shared" si="4"/>
        <v>179743</v>
      </c>
    </row>
    <row r="236" spans="1:4" ht="15" customHeight="1" x14ac:dyDescent="0.35">
      <c r="A236" s="560" t="s">
        <v>16</v>
      </c>
      <c r="B236" s="561">
        <v>45556</v>
      </c>
      <c r="C236" s="491">
        <f t="shared" si="3"/>
        <v>11829</v>
      </c>
      <c r="D236" s="491">
        <f t="shared" si="4"/>
        <v>191572</v>
      </c>
    </row>
    <row r="237" spans="1:4" s="580" customFormat="1" ht="15" customHeight="1" x14ac:dyDescent="0.35">
      <c r="A237" s="581" t="s">
        <v>18</v>
      </c>
      <c r="B237" s="582">
        <v>45557</v>
      </c>
      <c r="C237" s="579">
        <f t="shared" si="3"/>
        <v>0</v>
      </c>
      <c r="D237" s="579">
        <f t="shared" si="4"/>
        <v>191572</v>
      </c>
    </row>
    <row r="238" spans="1:4" ht="15" customHeight="1" x14ac:dyDescent="0.35">
      <c r="A238" s="560" t="s">
        <v>20</v>
      </c>
      <c r="B238" s="561">
        <v>45558</v>
      </c>
      <c r="C238" s="491">
        <f t="shared" si="3"/>
        <v>10911</v>
      </c>
      <c r="D238" s="491">
        <f t="shared" si="4"/>
        <v>202483</v>
      </c>
    </row>
    <row r="239" spans="1:4" ht="15" customHeight="1" x14ac:dyDescent="0.35">
      <c r="A239" s="560" t="s">
        <v>22</v>
      </c>
      <c r="B239" s="561">
        <v>45559</v>
      </c>
      <c r="C239" s="491">
        <f t="shared" si="3"/>
        <v>16898</v>
      </c>
      <c r="D239" s="491">
        <f t="shared" si="4"/>
        <v>219381</v>
      </c>
    </row>
    <row r="240" spans="1:4" ht="15" customHeight="1" x14ac:dyDescent="0.35">
      <c r="A240" s="560" t="s">
        <v>24</v>
      </c>
      <c r="B240" s="561">
        <v>45560</v>
      </c>
      <c r="C240" s="491">
        <f t="shared" si="3"/>
        <v>12288</v>
      </c>
      <c r="D240" s="491">
        <f t="shared" si="4"/>
        <v>231669</v>
      </c>
    </row>
    <row r="241" spans="1:4" ht="15" customHeight="1" x14ac:dyDescent="0.35">
      <c r="A241" s="560" t="s">
        <v>10</v>
      </c>
      <c r="B241" s="561">
        <v>45561</v>
      </c>
      <c r="C241" s="491">
        <f t="shared" si="3"/>
        <v>13178</v>
      </c>
      <c r="D241" s="491">
        <f t="shared" si="4"/>
        <v>244847</v>
      </c>
    </row>
    <row r="242" spans="1:4" ht="15" customHeight="1" x14ac:dyDescent="0.35">
      <c r="A242" s="560" t="s">
        <v>13</v>
      </c>
      <c r="B242" s="561">
        <v>45562</v>
      </c>
      <c r="C242" s="491">
        <f t="shared" si="3"/>
        <v>8984</v>
      </c>
      <c r="D242" s="491">
        <f t="shared" si="4"/>
        <v>253831</v>
      </c>
    </row>
    <row r="243" spans="1:4" ht="15" customHeight="1" x14ac:dyDescent="0.35">
      <c r="A243" s="560" t="s">
        <v>16</v>
      </c>
      <c r="B243" s="561">
        <v>45563</v>
      </c>
      <c r="C243" s="491">
        <f t="shared" si="3"/>
        <v>9174</v>
      </c>
      <c r="D243" s="491">
        <f t="shared" si="4"/>
        <v>263005</v>
      </c>
    </row>
    <row r="244" spans="1:4" s="580" customFormat="1" ht="15" customHeight="1" x14ac:dyDescent="0.35">
      <c r="A244" s="581" t="s">
        <v>18</v>
      </c>
      <c r="B244" s="582">
        <v>45564</v>
      </c>
      <c r="C244" s="579">
        <f t="shared" si="3"/>
        <v>0</v>
      </c>
      <c r="D244" s="579">
        <f t="shared" si="4"/>
        <v>263005</v>
      </c>
    </row>
    <row r="245" spans="1:4" ht="15" customHeight="1" x14ac:dyDescent="0.35">
      <c r="A245" s="560" t="s">
        <v>20</v>
      </c>
      <c r="B245" s="561">
        <v>45565</v>
      </c>
      <c r="C245" s="491">
        <f t="shared" si="3"/>
        <v>10069</v>
      </c>
      <c r="D245" s="491">
        <f t="shared" si="4"/>
        <v>273074</v>
      </c>
    </row>
  </sheetData>
  <mergeCells count="16">
    <mergeCell ref="B1:F1"/>
    <mergeCell ref="B2:B3"/>
    <mergeCell ref="C2:C3"/>
    <mergeCell ref="K4:L4"/>
    <mergeCell ref="B41:B42"/>
    <mergeCell ref="C41:C42"/>
    <mergeCell ref="K119:L119"/>
    <mergeCell ref="A152:B155"/>
    <mergeCell ref="C152:E153"/>
    <mergeCell ref="C154:C155"/>
    <mergeCell ref="K43:L43"/>
    <mergeCell ref="B77:B78"/>
    <mergeCell ref="C77:C78"/>
    <mergeCell ref="K79:L79"/>
    <mergeCell ref="B115:B116"/>
    <mergeCell ref="C115:C116"/>
  </mergeCells>
  <conditionalFormatting sqref="A216:B245">
    <cfRule type="expression" dxfId="49" priority="1">
      <formula>ISODD(ROW())</formula>
    </cfRule>
  </conditionalFormatting>
  <conditionalFormatting sqref="A79:F109 G105 G106:H106 H107 G108:H109">
    <cfRule type="expression" dxfId="48" priority="9">
      <formula>ISEVEN(ROW())</formula>
    </cfRule>
  </conditionalFormatting>
  <conditionalFormatting sqref="A4:H4 A5:B34">
    <cfRule type="expression" dxfId="47" priority="6">
      <formula>ISODD(ROW())</formula>
    </cfRule>
  </conditionalFormatting>
  <conditionalFormatting sqref="A43:H73">
    <cfRule type="expression" dxfId="46" priority="5">
      <formula>ISEVEN(ROW())</formula>
    </cfRule>
  </conditionalFormatting>
  <conditionalFormatting sqref="C5:F5">
    <cfRule type="expression" dxfId="45" priority="8">
      <formula>ISEVEN(ROW())</formula>
    </cfRule>
  </conditionalFormatting>
  <conditionalFormatting sqref="C6:H34 A156:F186">
    <cfRule type="expression" dxfId="44" priority="7">
      <formula>ISODD(ROW())</formula>
    </cfRule>
  </conditionalFormatting>
  <conditionalFormatting sqref="G5:H5">
    <cfRule type="expression" dxfId="43" priority="10">
      <formula>ISODD(ROW())</formula>
    </cfRule>
  </conditionalFormatting>
  <conditionalFormatting sqref="G79:H104">
    <cfRule type="expression" dxfId="42" priority="4">
      <formula>ISEVEN(ROW())</formula>
    </cfRule>
  </conditionalFormatting>
  <conditionalFormatting sqref="G117:H142 A117:F147 G143 G144:H144 H145 G146:H147">
    <cfRule type="expression" dxfId="41" priority="3">
      <formula>ISEVEN(ROW())</formula>
    </cfRule>
  </conditionalFormatting>
  <conditionalFormatting sqref="M2:M16 M18:M21 M27:M32 M34:M35 K37:K39 N41:N43 N49:N60 M55:M59 M65:M68 N65:N74 N77:N110 M111:M170 H152:H188">
    <cfRule type="cellIs" dxfId="40" priority="11" operator="greaterThan">
      <formula>0</formula>
    </cfRule>
    <cfRule type="cellIs" dxfId="39" priority="1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88B6-D9FD-4AA7-A841-5FB9010AE374}">
  <sheetPr>
    <tabColor rgb="FFFFFF00"/>
  </sheetPr>
  <dimension ref="A1:N246"/>
  <sheetViews>
    <sheetView topLeftCell="A120" workbookViewId="0">
      <selection activeCell="F146" sqref="F146"/>
    </sheetView>
  </sheetViews>
  <sheetFormatPr defaultColWidth="9.1796875" defaultRowHeight="15" customHeight="1" x14ac:dyDescent="0.35"/>
  <cols>
    <col min="1" max="1" width="18.453125" style="347" customWidth="1"/>
    <col min="2" max="2" width="21" style="347" customWidth="1"/>
    <col min="3" max="3" width="16.453125" style="347" customWidth="1"/>
    <col min="4" max="4" width="16.1796875" style="347" customWidth="1"/>
    <col min="5" max="5" width="22.453125" style="347" customWidth="1"/>
    <col min="6" max="6" width="19.81640625" style="347" customWidth="1"/>
    <col min="7" max="7" width="16.453125" style="347" customWidth="1"/>
    <col min="8" max="8" width="13" style="347" customWidth="1"/>
    <col min="9" max="9" width="12.81640625" style="347" bestFit="1" customWidth="1"/>
    <col min="10" max="10" width="15.81640625" style="347" bestFit="1" customWidth="1"/>
    <col min="11" max="11" width="14.453125" style="347" bestFit="1" customWidth="1"/>
    <col min="12" max="12" width="12.453125" style="347" customWidth="1"/>
    <col min="13" max="13" width="17.453125" style="347" customWidth="1"/>
    <col min="14" max="14" width="18.453125" style="347" customWidth="1"/>
    <col min="15" max="15" width="14.81640625" style="347" customWidth="1"/>
    <col min="16" max="16" width="12.54296875" style="347" customWidth="1"/>
    <col min="17" max="16384" width="9.1796875" style="347"/>
  </cols>
  <sheetData>
    <row r="1" spans="1:14" ht="17.5" customHeight="1" thickBot="1" x14ac:dyDescent="0.5">
      <c r="A1" s="346"/>
      <c r="B1" s="930" t="s">
        <v>0</v>
      </c>
      <c r="C1" s="930"/>
      <c r="D1" s="930"/>
      <c r="E1" s="930"/>
      <c r="F1" s="930"/>
      <c r="G1" s="346"/>
      <c r="H1" s="346"/>
      <c r="I1" s="346"/>
      <c r="J1" s="346"/>
      <c r="K1" s="346"/>
      <c r="L1" s="346"/>
      <c r="M1" s="346"/>
    </row>
    <row r="2" spans="1:14" ht="15.65" customHeight="1" x14ac:dyDescent="0.4">
      <c r="A2" s="348"/>
      <c r="B2" s="926" t="s">
        <v>1</v>
      </c>
      <c r="C2" s="935" t="s">
        <v>0</v>
      </c>
      <c r="D2" s="298" t="s">
        <v>2</v>
      </c>
      <c r="E2" s="184" t="s">
        <v>3</v>
      </c>
      <c r="F2" s="496" t="s">
        <v>143</v>
      </c>
      <c r="G2" s="186" t="s">
        <v>6</v>
      </c>
      <c r="H2" s="187" t="s">
        <v>7</v>
      </c>
      <c r="I2" s="349"/>
      <c r="J2" s="349"/>
      <c r="K2" s="349"/>
      <c r="L2" s="349"/>
      <c r="M2" s="349"/>
      <c r="N2" s="349"/>
    </row>
    <row r="3" spans="1:14" ht="30.75" customHeight="1" x14ac:dyDescent="0.35">
      <c r="A3" s="350"/>
      <c r="B3" s="934"/>
      <c r="C3" s="936"/>
      <c r="D3" s="299" t="s">
        <v>0</v>
      </c>
      <c r="E3" s="498" t="s">
        <v>0</v>
      </c>
      <c r="F3" s="499" t="s">
        <v>0</v>
      </c>
      <c r="G3" s="500" t="s">
        <v>8</v>
      </c>
      <c r="H3" s="501" t="s">
        <v>9</v>
      </c>
      <c r="I3" s="346"/>
      <c r="J3" s="346"/>
      <c r="K3" s="346"/>
      <c r="L3" s="346"/>
      <c r="M3" s="346"/>
      <c r="N3" s="346"/>
    </row>
    <row r="4" spans="1:14" ht="14.5" x14ac:dyDescent="0.35">
      <c r="A4" s="351" t="s">
        <v>10</v>
      </c>
      <c r="B4" s="352">
        <v>45505</v>
      </c>
      <c r="C4" s="353">
        <v>3266</v>
      </c>
      <c r="D4" s="354">
        <v>119</v>
      </c>
      <c r="E4" s="355">
        <v>1</v>
      </c>
      <c r="F4" s="356">
        <v>5</v>
      </c>
      <c r="G4" s="380" t="s">
        <v>862</v>
      </c>
      <c r="H4" s="462">
        <v>21</v>
      </c>
      <c r="I4" s="346"/>
      <c r="J4" s="346"/>
      <c r="K4" s="923" t="s">
        <v>12</v>
      </c>
      <c r="L4" s="923"/>
      <c r="M4" s="346"/>
      <c r="N4" s="346"/>
    </row>
    <row r="5" spans="1:14" ht="14.5" x14ac:dyDescent="0.35">
      <c r="A5" s="351" t="s">
        <v>13</v>
      </c>
      <c r="B5" s="352">
        <v>45506</v>
      </c>
      <c r="C5" s="359">
        <v>3441</v>
      </c>
      <c r="D5" s="360">
        <v>25</v>
      </c>
      <c r="E5" s="361">
        <v>0</v>
      </c>
      <c r="F5" s="361">
        <v>5</v>
      </c>
      <c r="G5" s="362" t="s">
        <v>863</v>
      </c>
      <c r="H5" s="363">
        <v>22</v>
      </c>
      <c r="I5" s="346"/>
      <c r="J5" s="346"/>
      <c r="K5" s="364" t="s">
        <v>15</v>
      </c>
      <c r="L5" s="365">
        <v>72000</v>
      </c>
      <c r="M5" s="346"/>
      <c r="N5" s="346"/>
    </row>
    <row r="6" spans="1:14" ht="14.5" x14ac:dyDescent="0.35">
      <c r="A6" s="351" t="s">
        <v>16</v>
      </c>
      <c r="B6" s="352">
        <v>45507</v>
      </c>
      <c r="C6" s="366">
        <v>2619</v>
      </c>
      <c r="D6" s="367">
        <v>54</v>
      </c>
      <c r="E6" s="368">
        <v>0</v>
      </c>
      <c r="F6" s="368">
        <v>2</v>
      </c>
      <c r="G6" s="368" t="s">
        <v>864</v>
      </c>
      <c r="H6" s="369">
        <v>21</v>
      </c>
      <c r="I6" s="346"/>
      <c r="J6" s="346"/>
      <c r="K6" s="370" t="s">
        <v>17</v>
      </c>
      <c r="L6" s="371">
        <v>3000</v>
      </c>
      <c r="M6" s="346"/>
      <c r="N6" s="346"/>
    </row>
    <row r="7" spans="1:14" ht="14.5" x14ac:dyDescent="0.35">
      <c r="A7" s="351" t="s">
        <v>18</v>
      </c>
      <c r="B7" s="352">
        <v>45508</v>
      </c>
      <c r="C7" s="372"/>
      <c r="D7" s="373"/>
      <c r="E7" s="374"/>
      <c r="F7" s="374"/>
      <c r="G7" s="374"/>
      <c r="H7" s="369"/>
      <c r="I7" s="346"/>
      <c r="J7" s="346"/>
      <c r="K7" s="375" t="s">
        <v>3</v>
      </c>
      <c r="L7" s="376">
        <v>15</v>
      </c>
      <c r="M7" s="346"/>
      <c r="N7" s="346"/>
    </row>
    <row r="8" spans="1:14" ht="14.5" x14ac:dyDescent="0.35">
      <c r="A8" s="351" t="s">
        <v>20</v>
      </c>
      <c r="B8" s="352">
        <v>45509</v>
      </c>
      <c r="C8" s="366">
        <v>4226</v>
      </c>
      <c r="D8" s="367">
        <v>25</v>
      </c>
      <c r="E8" s="368">
        <v>0</v>
      </c>
      <c r="F8" s="368">
        <v>1</v>
      </c>
      <c r="G8" s="368" t="s">
        <v>865</v>
      </c>
      <c r="H8" s="369">
        <v>26</v>
      </c>
      <c r="I8" s="346"/>
      <c r="J8" s="346"/>
      <c r="K8" s="346"/>
      <c r="L8" s="346"/>
      <c r="M8" s="346"/>
      <c r="N8" s="346"/>
    </row>
    <row r="9" spans="1:14" ht="14.5" x14ac:dyDescent="0.35">
      <c r="A9" s="351" t="s">
        <v>22</v>
      </c>
      <c r="B9" s="352">
        <v>45510</v>
      </c>
      <c r="C9" s="377">
        <v>3671</v>
      </c>
      <c r="D9" s="378">
        <v>25</v>
      </c>
      <c r="E9" s="362">
        <v>0</v>
      </c>
      <c r="F9" s="362">
        <v>1</v>
      </c>
      <c r="G9" s="368" t="s">
        <v>866</v>
      </c>
      <c r="H9" s="363">
        <v>22</v>
      </c>
      <c r="I9" s="346"/>
      <c r="J9" s="346"/>
      <c r="K9" s="346"/>
      <c r="L9" s="346"/>
      <c r="M9" s="346"/>
      <c r="N9" s="346"/>
    </row>
    <row r="10" spans="1:14" ht="14.5" x14ac:dyDescent="0.35">
      <c r="A10" s="351" t="s">
        <v>24</v>
      </c>
      <c r="B10" s="352">
        <v>45511</v>
      </c>
      <c r="C10" s="379">
        <v>3312</v>
      </c>
      <c r="D10" s="354">
        <v>0</v>
      </c>
      <c r="E10" s="380">
        <v>0</v>
      </c>
      <c r="F10" s="380">
        <v>4</v>
      </c>
      <c r="G10" s="380" t="s">
        <v>867</v>
      </c>
      <c r="H10" s="381">
        <v>20</v>
      </c>
      <c r="I10" s="346"/>
      <c r="J10" s="346"/>
      <c r="K10" s="346"/>
      <c r="L10" s="346"/>
      <c r="M10" s="346"/>
      <c r="N10" s="346"/>
    </row>
    <row r="11" spans="1:14" ht="14.5" x14ac:dyDescent="0.35">
      <c r="A11" s="351" t="s">
        <v>10</v>
      </c>
      <c r="B11" s="352">
        <v>45512</v>
      </c>
      <c r="C11" s="217">
        <v>826</v>
      </c>
      <c r="D11" s="218">
        <v>80</v>
      </c>
      <c r="E11" s="219">
        <v>0</v>
      </c>
      <c r="F11" s="219">
        <v>0</v>
      </c>
      <c r="G11" s="219" t="s">
        <v>868</v>
      </c>
      <c r="H11" s="220">
        <v>15</v>
      </c>
      <c r="I11" s="346"/>
      <c r="J11" s="346"/>
      <c r="K11" s="346"/>
      <c r="L11" s="346"/>
      <c r="M11" s="346"/>
      <c r="N11" s="346"/>
    </row>
    <row r="12" spans="1:14" ht="14.5" x14ac:dyDescent="0.35">
      <c r="A12" s="351" t="s">
        <v>13</v>
      </c>
      <c r="B12" s="352">
        <v>45513</v>
      </c>
      <c r="C12" s="221">
        <v>3089</v>
      </c>
      <c r="D12" s="222">
        <v>182</v>
      </c>
      <c r="E12" s="223">
        <v>0</v>
      </c>
      <c r="F12" s="223">
        <v>9</v>
      </c>
      <c r="G12" s="223" t="s">
        <v>869</v>
      </c>
      <c r="H12" s="224">
        <v>22</v>
      </c>
      <c r="I12" s="346"/>
      <c r="J12" s="346"/>
      <c r="K12" s="346"/>
      <c r="L12" s="346"/>
      <c r="M12" s="346"/>
      <c r="N12" s="346"/>
    </row>
    <row r="13" spans="1:14" ht="14.5" x14ac:dyDescent="0.35">
      <c r="A13" s="351" t="s">
        <v>16</v>
      </c>
      <c r="B13" s="352">
        <v>45514</v>
      </c>
      <c r="C13" s="225">
        <v>1394</v>
      </c>
      <c r="D13" s="226">
        <v>29</v>
      </c>
      <c r="E13" s="227">
        <v>0</v>
      </c>
      <c r="F13" s="227">
        <v>2</v>
      </c>
      <c r="G13" s="227" t="s">
        <v>870</v>
      </c>
      <c r="H13" s="228">
        <v>15</v>
      </c>
      <c r="I13" s="346"/>
      <c r="J13" s="346"/>
      <c r="K13" s="346"/>
      <c r="L13" s="346"/>
      <c r="M13" s="346"/>
      <c r="N13" s="346"/>
    </row>
    <row r="14" spans="1:14" ht="14.5" x14ac:dyDescent="0.35">
      <c r="A14" s="351" t="s">
        <v>18</v>
      </c>
      <c r="B14" s="352">
        <v>45515</v>
      </c>
      <c r="C14" s="229"/>
      <c r="D14" s="230"/>
      <c r="E14" s="231"/>
      <c r="F14" s="231"/>
      <c r="G14" s="231"/>
      <c r="H14" s="232"/>
      <c r="I14" s="346"/>
      <c r="J14" s="346"/>
      <c r="K14" s="346"/>
      <c r="L14" s="346"/>
      <c r="M14" s="346"/>
      <c r="N14" s="346"/>
    </row>
    <row r="15" spans="1:14" ht="14.5" x14ac:dyDescent="0.35">
      <c r="A15" s="351" t="s">
        <v>20</v>
      </c>
      <c r="B15" s="352">
        <v>45516</v>
      </c>
      <c r="C15" s="225">
        <v>2608</v>
      </c>
      <c r="D15" s="226">
        <v>158</v>
      </c>
      <c r="E15" s="227">
        <v>0</v>
      </c>
      <c r="F15" s="227">
        <v>3</v>
      </c>
      <c r="G15" s="227" t="s">
        <v>871</v>
      </c>
      <c r="H15" s="228">
        <v>21</v>
      </c>
      <c r="I15" s="346"/>
      <c r="J15" s="346"/>
      <c r="K15" s="262"/>
      <c r="L15" s="346"/>
      <c r="M15" s="346"/>
      <c r="N15" s="346"/>
    </row>
    <row r="16" spans="1:14" ht="14.5" x14ac:dyDescent="0.35">
      <c r="A16" s="351" t="s">
        <v>22</v>
      </c>
      <c r="B16" s="352">
        <v>45517</v>
      </c>
      <c r="C16" s="382">
        <v>3740</v>
      </c>
      <c r="D16" s="383">
        <v>108</v>
      </c>
      <c r="E16" s="384">
        <v>0</v>
      </c>
      <c r="F16" s="384">
        <v>1</v>
      </c>
      <c r="G16" s="384" t="s">
        <v>872</v>
      </c>
      <c r="H16" s="385">
        <v>26</v>
      </c>
      <c r="I16" s="346"/>
      <c r="J16" s="346"/>
      <c r="K16" s="346"/>
      <c r="L16" s="346"/>
      <c r="M16" s="346"/>
      <c r="N16" s="346"/>
    </row>
    <row r="17" spans="1:14" ht="14.5" x14ac:dyDescent="0.35">
      <c r="A17" s="351" t="s">
        <v>24</v>
      </c>
      <c r="B17" s="352">
        <v>45518</v>
      </c>
      <c r="C17" s="225">
        <v>3708</v>
      </c>
      <c r="D17" s="226">
        <v>75</v>
      </c>
      <c r="E17" s="227">
        <v>0</v>
      </c>
      <c r="F17" s="227">
        <v>7</v>
      </c>
      <c r="G17" s="227" t="s">
        <v>873</v>
      </c>
      <c r="H17" s="228">
        <v>10</v>
      </c>
      <c r="I17" s="506"/>
      <c r="J17" s="346"/>
      <c r="K17" s="346"/>
      <c r="L17" s="346"/>
      <c r="M17" s="346"/>
      <c r="N17" s="346"/>
    </row>
    <row r="18" spans="1:14" ht="14.5" x14ac:dyDescent="0.35">
      <c r="A18" s="351" t="s">
        <v>10</v>
      </c>
      <c r="B18" s="352">
        <v>45519</v>
      </c>
      <c r="C18" s="382">
        <v>1449</v>
      </c>
      <c r="D18" s="354">
        <v>141</v>
      </c>
      <c r="E18" s="380">
        <v>0</v>
      </c>
      <c r="F18" s="380">
        <v>2</v>
      </c>
      <c r="G18" s="380" t="s">
        <v>874</v>
      </c>
      <c r="H18" s="381">
        <v>14</v>
      </c>
      <c r="I18" s="346"/>
      <c r="J18" s="346"/>
      <c r="K18" s="346"/>
      <c r="L18" s="346"/>
      <c r="M18" s="346"/>
      <c r="N18" s="346"/>
    </row>
    <row r="19" spans="1:14" ht="14.5" x14ac:dyDescent="0.35">
      <c r="A19" s="351" t="s">
        <v>13</v>
      </c>
      <c r="B19" s="352">
        <v>45520</v>
      </c>
      <c r="C19" s="372">
        <v>1997</v>
      </c>
      <c r="D19" s="378">
        <v>65</v>
      </c>
      <c r="E19" s="362">
        <v>1</v>
      </c>
      <c r="F19" s="362">
        <v>5</v>
      </c>
      <c r="G19" s="362" t="s">
        <v>875</v>
      </c>
      <c r="H19" s="363">
        <v>19</v>
      </c>
      <c r="I19" s="386"/>
      <c r="J19" s="346"/>
      <c r="K19" s="346"/>
      <c r="L19" s="346"/>
      <c r="M19" s="346"/>
      <c r="N19" s="346"/>
    </row>
    <row r="20" spans="1:14" ht="14.5" x14ac:dyDescent="0.35">
      <c r="A20" s="351" t="s">
        <v>16</v>
      </c>
      <c r="B20" s="352">
        <v>45521</v>
      </c>
      <c r="C20" s="382">
        <v>3565</v>
      </c>
      <c r="D20" s="383">
        <v>69</v>
      </c>
      <c r="E20" s="380">
        <v>0</v>
      </c>
      <c r="F20" s="380">
        <v>2</v>
      </c>
      <c r="G20" s="384" t="s">
        <v>876</v>
      </c>
      <c r="H20" s="381">
        <v>13</v>
      </c>
      <c r="I20" s="346"/>
      <c r="J20" s="346"/>
      <c r="K20" s="346"/>
      <c r="L20" s="346"/>
      <c r="M20" s="346"/>
      <c r="N20" s="346"/>
    </row>
    <row r="21" spans="1:14" ht="14.5" x14ac:dyDescent="0.35">
      <c r="A21" s="351" t="s">
        <v>18</v>
      </c>
      <c r="B21" s="352">
        <v>45522</v>
      </c>
      <c r="C21" s="387"/>
      <c r="D21" s="388"/>
      <c r="E21" s="389"/>
      <c r="F21" s="389"/>
      <c r="G21" s="389"/>
      <c r="H21" s="390"/>
      <c r="I21" s="391"/>
      <c r="J21" s="346"/>
      <c r="K21" s="346"/>
      <c r="L21" s="346"/>
      <c r="M21" s="346"/>
      <c r="N21" s="346"/>
    </row>
    <row r="22" spans="1:14" ht="14.5" x14ac:dyDescent="0.35">
      <c r="A22" s="351" t="s">
        <v>20</v>
      </c>
      <c r="B22" s="352">
        <v>45523</v>
      </c>
      <c r="C22" s="379">
        <v>893</v>
      </c>
      <c r="D22" s="354">
        <v>0</v>
      </c>
      <c r="E22" s="380">
        <v>0</v>
      </c>
      <c r="F22" s="380">
        <v>1</v>
      </c>
      <c r="G22" s="380" t="s">
        <v>877</v>
      </c>
      <c r="H22" s="381">
        <v>16</v>
      </c>
      <c r="I22" s="386"/>
      <c r="J22" s="346"/>
      <c r="K22" s="346"/>
      <c r="L22" s="346"/>
      <c r="M22" s="346"/>
      <c r="N22" s="346"/>
    </row>
    <row r="23" spans="1:14" ht="14.5" x14ac:dyDescent="0.35">
      <c r="A23" s="351" t="s">
        <v>22</v>
      </c>
      <c r="B23" s="352">
        <v>45524</v>
      </c>
      <c r="C23" s="387">
        <v>3042</v>
      </c>
      <c r="D23" s="388">
        <v>79</v>
      </c>
      <c r="E23" s="389">
        <v>1</v>
      </c>
      <c r="F23" s="389">
        <v>4</v>
      </c>
      <c r="G23" s="380" t="s">
        <v>878</v>
      </c>
      <c r="H23" s="390">
        <v>16</v>
      </c>
      <c r="I23" s="391"/>
      <c r="J23" s="346"/>
      <c r="K23" s="346"/>
      <c r="L23" s="346"/>
      <c r="M23" s="346"/>
      <c r="N23" s="346"/>
    </row>
    <row r="24" spans="1:14" ht="14.5" x14ac:dyDescent="0.35">
      <c r="A24" s="351" t="s">
        <v>24</v>
      </c>
      <c r="B24" s="352">
        <v>45525</v>
      </c>
      <c r="C24" s="366">
        <v>3200</v>
      </c>
      <c r="D24" s="367">
        <v>83</v>
      </c>
      <c r="E24" s="368">
        <v>0</v>
      </c>
      <c r="F24" s="368">
        <v>6</v>
      </c>
      <c r="G24" s="368" t="s">
        <v>879</v>
      </c>
      <c r="H24" s="369">
        <v>12</v>
      </c>
      <c r="I24" s="391"/>
      <c r="J24" s="346"/>
      <c r="K24" s="346"/>
      <c r="L24" s="346"/>
      <c r="M24" s="346"/>
      <c r="N24" s="346"/>
    </row>
    <row r="25" spans="1:14" ht="14.5" x14ac:dyDescent="0.35">
      <c r="A25" s="351" t="s">
        <v>10</v>
      </c>
      <c r="B25" s="352">
        <v>45526</v>
      </c>
      <c r="C25" s="372">
        <v>4903</v>
      </c>
      <c r="D25" s="373">
        <v>54</v>
      </c>
      <c r="E25" s="374">
        <v>0</v>
      </c>
      <c r="F25" s="374">
        <v>2</v>
      </c>
      <c r="G25" s="374" t="s">
        <v>880</v>
      </c>
      <c r="H25" s="392">
        <v>25</v>
      </c>
      <c r="I25" s="346"/>
      <c r="J25" s="346"/>
      <c r="K25" s="346"/>
      <c r="L25" s="346"/>
      <c r="M25" s="346"/>
      <c r="N25" s="346"/>
    </row>
    <row r="26" spans="1:14" ht="14.5" x14ac:dyDescent="0.35">
      <c r="A26" s="351" t="s">
        <v>13</v>
      </c>
      <c r="B26" s="352">
        <v>45527</v>
      </c>
      <c r="C26" s="382">
        <v>3222</v>
      </c>
      <c r="D26" s="383">
        <v>49</v>
      </c>
      <c r="E26" s="384">
        <v>0</v>
      </c>
      <c r="F26" s="384">
        <v>7</v>
      </c>
      <c r="G26" s="384" t="s">
        <v>881</v>
      </c>
      <c r="H26" s="385">
        <v>24</v>
      </c>
      <c r="I26" s="346"/>
      <c r="J26" s="346"/>
      <c r="K26" s="346"/>
      <c r="L26" s="346"/>
      <c r="M26" s="346"/>
      <c r="N26" s="346"/>
    </row>
    <row r="27" spans="1:14" ht="14.5" x14ac:dyDescent="0.35">
      <c r="A27" s="351" t="s">
        <v>16</v>
      </c>
      <c r="B27" s="352">
        <v>45528</v>
      </c>
      <c r="C27" s="387">
        <v>3034</v>
      </c>
      <c r="D27" s="388">
        <v>141</v>
      </c>
      <c r="E27" s="389">
        <v>0</v>
      </c>
      <c r="F27" s="389">
        <v>4</v>
      </c>
      <c r="G27" s="239" t="s">
        <v>882</v>
      </c>
      <c r="H27" s="390">
        <v>19</v>
      </c>
      <c r="I27" s="391"/>
      <c r="J27" s="346"/>
      <c r="K27" s="346"/>
      <c r="L27" s="346"/>
      <c r="M27" s="346"/>
      <c r="N27" s="346"/>
    </row>
    <row r="28" spans="1:14" ht="14.5" x14ac:dyDescent="0.35">
      <c r="A28" s="351" t="s">
        <v>18</v>
      </c>
      <c r="B28" s="352">
        <v>45529</v>
      </c>
      <c r="C28" s="382"/>
      <c r="D28" s="383"/>
      <c r="E28" s="384"/>
      <c r="F28" s="384"/>
      <c r="G28" s="384"/>
      <c r="H28" s="385"/>
      <c r="I28" s="346"/>
      <c r="J28" s="346"/>
      <c r="K28" s="346"/>
      <c r="L28" s="346"/>
      <c r="M28" s="346"/>
      <c r="N28" s="346"/>
    </row>
    <row r="29" spans="1:14" ht="14.5" x14ac:dyDescent="0.35">
      <c r="A29" s="351" t="s">
        <v>20</v>
      </c>
      <c r="B29" s="352">
        <v>45530</v>
      </c>
      <c r="C29" s="372">
        <v>2946</v>
      </c>
      <c r="D29" s="393">
        <v>58</v>
      </c>
      <c r="E29" s="394">
        <v>0</v>
      </c>
      <c r="F29" s="395">
        <v>3</v>
      </c>
      <c r="G29" s="374" t="s">
        <v>883</v>
      </c>
      <c r="H29" s="392">
        <v>23</v>
      </c>
      <c r="I29" s="346"/>
      <c r="J29" s="346"/>
      <c r="K29" s="346"/>
      <c r="L29" s="346"/>
      <c r="M29" s="346"/>
      <c r="N29" s="346"/>
    </row>
    <row r="30" spans="1:14" ht="14.5" x14ac:dyDescent="0.35">
      <c r="A30" s="351" t="s">
        <v>22</v>
      </c>
      <c r="B30" s="352">
        <v>45531</v>
      </c>
      <c r="C30" s="379">
        <v>1680</v>
      </c>
      <c r="D30" s="396">
        <v>0</v>
      </c>
      <c r="E30" s="397">
        <v>0</v>
      </c>
      <c r="F30" s="386">
        <v>3</v>
      </c>
      <c r="G30" s="397" t="s">
        <v>884</v>
      </c>
      <c r="H30" s="398">
        <v>17</v>
      </c>
      <c r="I30" s="386"/>
      <c r="J30" s="346"/>
      <c r="K30" s="346"/>
      <c r="L30" s="399"/>
      <c r="M30" s="346"/>
      <c r="N30" s="346"/>
    </row>
    <row r="31" spans="1:14" ht="14.5" x14ac:dyDescent="0.35">
      <c r="A31" s="351" t="s">
        <v>24</v>
      </c>
      <c r="B31" s="352">
        <v>45532</v>
      </c>
      <c r="C31" s="379">
        <v>1460</v>
      </c>
      <c r="D31" s="400">
        <v>54</v>
      </c>
      <c r="E31" s="397">
        <v>0</v>
      </c>
      <c r="F31" s="386">
        <v>5</v>
      </c>
      <c r="G31" s="401" t="s">
        <v>885</v>
      </c>
      <c r="H31" s="380">
        <v>16</v>
      </c>
      <c r="I31" s="386"/>
      <c r="J31" s="346"/>
      <c r="K31" s="346"/>
      <c r="L31" s="399"/>
      <c r="M31" s="346"/>
      <c r="N31" s="346"/>
    </row>
    <row r="32" spans="1:14" ht="14.5" x14ac:dyDescent="0.35">
      <c r="A32" s="351" t="s">
        <v>10</v>
      </c>
      <c r="B32" s="352">
        <v>45533</v>
      </c>
      <c r="C32" s="379">
        <v>1622</v>
      </c>
      <c r="D32" s="400">
        <v>0</v>
      </c>
      <c r="E32" s="397">
        <v>0</v>
      </c>
      <c r="F32" s="386">
        <v>4</v>
      </c>
      <c r="G32" s="401" t="s">
        <v>886</v>
      </c>
      <c r="H32" s="380">
        <v>15</v>
      </c>
      <c r="I32" s="386"/>
      <c r="J32" s="346"/>
      <c r="K32" s="346"/>
      <c r="L32" s="399"/>
      <c r="M32" s="346"/>
      <c r="N32" s="346"/>
    </row>
    <row r="33" spans="1:14" ht="14.5" x14ac:dyDescent="0.35">
      <c r="A33" s="351" t="s">
        <v>13</v>
      </c>
      <c r="B33" s="352">
        <v>45534</v>
      </c>
      <c r="C33" s="402">
        <v>2772</v>
      </c>
      <c r="D33" s="403">
        <v>141</v>
      </c>
      <c r="E33" s="397">
        <v>0</v>
      </c>
      <c r="F33" s="404">
        <v>5</v>
      </c>
      <c r="G33" s="401" t="s">
        <v>887</v>
      </c>
      <c r="H33" s="380">
        <v>21</v>
      </c>
      <c r="I33" s="346"/>
      <c r="J33" s="346"/>
      <c r="K33" s="346"/>
      <c r="L33" s="346"/>
      <c r="M33" s="346"/>
      <c r="N33" s="346"/>
    </row>
    <row r="34" spans="1:14" ht="14.5" x14ac:dyDescent="0.35">
      <c r="A34" s="351" t="s">
        <v>16</v>
      </c>
      <c r="B34" s="352">
        <v>45535</v>
      </c>
      <c r="C34" s="405">
        <v>3470</v>
      </c>
      <c r="D34" s="405">
        <v>54</v>
      </c>
      <c r="E34" s="357">
        <v>0</v>
      </c>
      <c r="F34" s="357">
        <v>7</v>
      </c>
      <c r="G34" s="357" t="s">
        <v>888</v>
      </c>
      <c r="H34" s="357">
        <v>30</v>
      </c>
      <c r="I34" s="386"/>
      <c r="J34" s="346"/>
      <c r="K34" s="346"/>
      <c r="L34" s="399"/>
      <c r="M34" s="346"/>
      <c r="N34" s="346"/>
    </row>
    <row r="35" spans="1:14" thickBot="1" x14ac:dyDescent="0.4">
      <c r="A35" s="406"/>
      <c r="B35" s="406"/>
      <c r="C35" s="258">
        <f>SUM(C4:C34)</f>
        <v>75155</v>
      </c>
      <c r="D35" s="259">
        <f>SUM(D4:D34)</f>
        <v>1868</v>
      </c>
      <c r="E35" s="260">
        <f>SUM(E4:E34)</f>
        <v>3</v>
      </c>
      <c r="F35" s="260">
        <f>SUM(F4:F34)</f>
        <v>100</v>
      </c>
      <c r="G35" s="261" t="s">
        <v>793</v>
      </c>
      <c r="H35" s="261">
        <f>SUM(H4:H34)</f>
        <v>521</v>
      </c>
      <c r="I35" s="477"/>
      <c r="J35" s="346"/>
      <c r="K35" s="346"/>
      <c r="L35" s="346"/>
      <c r="M35" s="346"/>
      <c r="N35" s="346"/>
    </row>
    <row r="36" spans="1:14" ht="14.5" x14ac:dyDescent="0.35">
      <c r="A36" s="346"/>
      <c r="B36" s="407"/>
      <c r="C36" s="509"/>
      <c r="D36" s="510"/>
      <c r="E36" s="475"/>
      <c r="F36" s="406"/>
      <c r="G36" s="346"/>
      <c r="H36" s="346"/>
      <c r="I36" s="346"/>
      <c r="J36" s="346"/>
      <c r="K36" s="346"/>
      <c r="L36" s="346"/>
      <c r="M36" s="346"/>
    </row>
    <row r="37" spans="1:14" ht="14.5" x14ac:dyDescent="0.35">
      <c r="A37" s="346"/>
      <c r="B37" s="407"/>
      <c r="C37" s="399"/>
      <c r="D37" s="399"/>
      <c r="E37" s="475"/>
      <c r="F37" s="511"/>
      <c r="G37" s="346"/>
      <c r="H37" s="346"/>
      <c r="I37" s="346"/>
      <c r="J37" s="346"/>
      <c r="K37" s="346"/>
      <c r="L37" s="346"/>
      <c r="M37" s="346"/>
    </row>
    <row r="38" spans="1:14" ht="14.5" x14ac:dyDescent="0.35">
      <c r="A38" s="346"/>
      <c r="B38" s="407"/>
      <c r="C38" s="475"/>
      <c r="D38" s="399"/>
      <c r="E38" s="475"/>
      <c r="F38" s="511"/>
      <c r="G38" s="346"/>
      <c r="H38" s="346"/>
      <c r="I38" s="346"/>
      <c r="J38" s="346"/>
      <c r="K38" s="346"/>
      <c r="L38" s="346"/>
      <c r="M38" s="346"/>
    </row>
    <row r="39" spans="1:14" ht="14.5" x14ac:dyDescent="0.35">
      <c r="A39" s="346"/>
      <c r="B39" s="407"/>
      <c r="C39" s="399"/>
      <c r="D39" s="399"/>
      <c r="E39" s="399"/>
      <c r="F39" s="346"/>
      <c r="G39" s="346"/>
      <c r="H39" s="346"/>
      <c r="I39" s="346"/>
      <c r="J39" s="346"/>
      <c r="K39" s="346"/>
      <c r="L39" s="346"/>
      <c r="M39" s="346"/>
    </row>
    <row r="40" spans="1:14" ht="19" thickBot="1" x14ac:dyDescent="0.5">
      <c r="A40" s="346"/>
      <c r="B40" s="407"/>
      <c r="C40" s="399"/>
      <c r="D40" s="512"/>
      <c r="E40" s="399"/>
      <c r="F40" s="346"/>
      <c r="G40" s="346"/>
      <c r="H40" s="346"/>
      <c r="I40" s="346"/>
      <c r="J40" s="346"/>
      <c r="K40" s="346"/>
      <c r="L40" s="346"/>
      <c r="M40" s="346"/>
    </row>
    <row r="41" spans="1:14" ht="15.65" customHeight="1" x14ac:dyDescent="0.4">
      <c r="A41" s="348"/>
      <c r="B41" s="931" t="s">
        <v>37</v>
      </c>
      <c r="C41" s="935" t="s">
        <v>0</v>
      </c>
      <c r="D41" s="298" t="s">
        <v>2</v>
      </c>
      <c r="E41" s="184" t="s">
        <v>3</v>
      </c>
      <c r="F41" s="185" t="s">
        <v>143</v>
      </c>
      <c r="G41" s="186" t="s">
        <v>6</v>
      </c>
      <c r="H41" s="187" t="s">
        <v>7</v>
      </c>
      <c r="I41" s="349"/>
      <c r="J41" s="349"/>
      <c r="M41" s="349"/>
      <c r="N41" s="349"/>
    </row>
    <row r="42" spans="1:14" ht="29.25" customHeight="1" x14ac:dyDescent="0.35">
      <c r="A42" s="350"/>
      <c r="B42" s="937"/>
      <c r="C42" s="936"/>
      <c r="D42" s="299" t="s">
        <v>0</v>
      </c>
      <c r="E42" s="188" t="s">
        <v>0</v>
      </c>
      <c r="F42" s="499" t="s">
        <v>0</v>
      </c>
      <c r="G42" s="500" t="s">
        <v>8</v>
      </c>
      <c r="H42" s="501" t="s">
        <v>9</v>
      </c>
      <c r="I42" s="346"/>
      <c r="J42" s="346"/>
      <c r="M42" s="346"/>
      <c r="N42" s="346"/>
    </row>
    <row r="43" spans="1:14" ht="14.5" x14ac:dyDescent="0.35">
      <c r="A43" s="351" t="s">
        <v>10</v>
      </c>
      <c r="B43" s="352">
        <v>45505</v>
      </c>
      <c r="C43" s="353">
        <v>1354</v>
      </c>
      <c r="D43" s="354">
        <v>50</v>
      </c>
      <c r="E43" s="355">
        <v>0</v>
      </c>
      <c r="F43" s="356">
        <v>3</v>
      </c>
      <c r="G43" s="380" t="s">
        <v>731</v>
      </c>
      <c r="H43" s="462">
        <v>5</v>
      </c>
      <c r="I43" s="346"/>
      <c r="J43" s="346"/>
      <c r="K43" s="923" t="s">
        <v>12</v>
      </c>
      <c r="L43" s="923"/>
      <c r="M43" s="346"/>
      <c r="N43" s="346"/>
    </row>
    <row r="44" spans="1:14" ht="14.5" x14ac:dyDescent="0.35">
      <c r="A44" s="351" t="s">
        <v>13</v>
      </c>
      <c r="B44" s="352">
        <v>45506</v>
      </c>
      <c r="C44" s="377">
        <v>2750</v>
      </c>
      <c r="D44" s="378">
        <v>172</v>
      </c>
      <c r="E44" s="362">
        <v>0</v>
      </c>
      <c r="F44" s="362">
        <v>2</v>
      </c>
      <c r="G44" s="362" t="s">
        <v>889</v>
      </c>
      <c r="H44" s="363">
        <v>17</v>
      </c>
      <c r="I44" s="346"/>
      <c r="J44" s="346"/>
      <c r="K44" s="408" t="s">
        <v>15</v>
      </c>
      <c r="L44" s="409">
        <v>54000</v>
      </c>
      <c r="M44" s="346"/>
      <c r="N44" s="346"/>
    </row>
    <row r="45" spans="1:14" ht="14.5" x14ac:dyDescent="0.35">
      <c r="A45" s="351" t="s">
        <v>16</v>
      </c>
      <c r="B45" s="352">
        <v>45507</v>
      </c>
      <c r="C45" s="366">
        <v>2801</v>
      </c>
      <c r="D45" s="367">
        <v>226</v>
      </c>
      <c r="E45" s="368">
        <v>2</v>
      </c>
      <c r="F45" s="368">
        <v>6</v>
      </c>
      <c r="G45" s="368" t="s">
        <v>890</v>
      </c>
      <c r="H45" s="369">
        <v>15</v>
      </c>
      <c r="I45" s="346"/>
      <c r="J45" s="414"/>
      <c r="K45" s="370" t="s">
        <v>17</v>
      </c>
      <c r="L45" s="411">
        <v>2600</v>
      </c>
      <c r="M45" s="346"/>
      <c r="N45" s="346"/>
    </row>
    <row r="46" spans="1:14" ht="14.5" x14ac:dyDescent="0.35">
      <c r="A46" s="351" t="s">
        <v>18</v>
      </c>
      <c r="B46" s="352">
        <v>45508</v>
      </c>
      <c r="C46" s="372"/>
      <c r="D46" s="373"/>
      <c r="E46" s="374"/>
      <c r="F46" s="374"/>
      <c r="G46" s="374"/>
      <c r="H46" s="392"/>
      <c r="I46" s="346"/>
      <c r="J46" s="346"/>
      <c r="K46" s="412" t="s">
        <v>3</v>
      </c>
      <c r="L46" s="413">
        <v>25</v>
      </c>
      <c r="M46" s="346"/>
      <c r="N46" s="346"/>
    </row>
    <row r="47" spans="1:14" ht="14.5" x14ac:dyDescent="0.35">
      <c r="A47" s="351" t="s">
        <v>20</v>
      </c>
      <c r="B47" s="352">
        <v>45509</v>
      </c>
      <c r="C47" s="366">
        <v>1320</v>
      </c>
      <c r="D47" s="367">
        <v>75</v>
      </c>
      <c r="E47" s="368">
        <v>0</v>
      </c>
      <c r="F47" s="368">
        <v>5</v>
      </c>
      <c r="G47" s="368" t="s">
        <v>891</v>
      </c>
      <c r="H47" s="369">
        <v>10</v>
      </c>
      <c r="I47" s="346"/>
      <c r="J47" s="346"/>
      <c r="K47" s="346"/>
      <c r="L47" s="407"/>
      <c r="M47" s="346"/>
      <c r="N47" s="346"/>
    </row>
    <row r="48" spans="1:14" ht="14.5" x14ac:dyDescent="0.35">
      <c r="A48" s="351" t="s">
        <v>22</v>
      </c>
      <c r="B48" s="352">
        <v>45510</v>
      </c>
      <c r="C48" s="377">
        <v>2955</v>
      </c>
      <c r="D48" s="378">
        <v>190</v>
      </c>
      <c r="E48" s="362">
        <v>0</v>
      </c>
      <c r="F48" s="362">
        <v>2</v>
      </c>
      <c r="G48" s="368" t="s">
        <v>892</v>
      </c>
      <c r="H48" s="363">
        <v>12</v>
      </c>
      <c r="I48" s="346"/>
      <c r="J48" s="346"/>
      <c r="K48" s="346"/>
      <c r="L48" s="407"/>
      <c r="M48" s="346"/>
      <c r="N48" s="346"/>
    </row>
    <row r="49" spans="1:14" ht="14.5" x14ac:dyDescent="0.35">
      <c r="A49" s="351" t="s">
        <v>24</v>
      </c>
      <c r="B49" s="352">
        <v>45511</v>
      </c>
      <c r="C49" s="379">
        <v>883</v>
      </c>
      <c r="D49" s="354">
        <v>20</v>
      </c>
      <c r="E49" s="380">
        <v>0</v>
      </c>
      <c r="F49" s="380">
        <v>1</v>
      </c>
      <c r="G49" s="380" t="s">
        <v>482</v>
      </c>
      <c r="H49" s="381">
        <v>8</v>
      </c>
      <c r="I49" s="346"/>
      <c r="J49" s="346"/>
      <c r="K49" s="346"/>
      <c r="L49" s="346"/>
      <c r="M49" s="346"/>
      <c r="N49" s="346"/>
    </row>
    <row r="50" spans="1:14" ht="14.5" x14ac:dyDescent="0.35">
      <c r="A50" s="351" t="s">
        <v>10</v>
      </c>
      <c r="B50" s="352">
        <v>45512</v>
      </c>
      <c r="C50" s="217">
        <v>1369</v>
      </c>
      <c r="D50" s="218">
        <v>0</v>
      </c>
      <c r="E50" s="219">
        <v>0</v>
      </c>
      <c r="F50" s="219">
        <v>1</v>
      </c>
      <c r="G50" s="300" t="s">
        <v>482</v>
      </c>
      <c r="H50" s="220">
        <v>10</v>
      </c>
      <c r="I50" s="346"/>
      <c r="J50" s="346"/>
      <c r="K50" s="346"/>
      <c r="L50" s="346"/>
      <c r="M50" s="346"/>
      <c r="N50" s="346"/>
    </row>
    <row r="51" spans="1:14" ht="14.5" x14ac:dyDescent="0.35">
      <c r="A51" s="351" t="s">
        <v>13</v>
      </c>
      <c r="B51" s="352">
        <v>45513</v>
      </c>
      <c r="C51" s="221">
        <v>2089</v>
      </c>
      <c r="D51" s="222">
        <v>110</v>
      </c>
      <c r="E51" s="223">
        <v>0</v>
      </c>
      <c r="F51" s="223">
        <v>0</v>
      </c>
      <c r="G51" s="223" t="s">
        <v>893</v>
      </c>
      <c r="H51" s="224">
        <v>13</v>
      </c>
      <c r="I51" s="346"/>
      <c r="J51" s="346"/>
      <c r="K51" s="346"/>
      <c r="L51" s="346"/>
      <c r="M51" s="346"/>
      <c r="N51" s="346"/>
    </row>
    <row r="52" spans="1:14" ht="14.5" x14ac:dyDescent="0.35">
      <c r="A52" s="351" t="s">
        <v>16</v>
      </c>
      <c r="B52" s="352">
        <v>45514</v>
      </c>
      <c r="C52" s="225">
        <v>2099</v>
      </c>
      <c r="D52" s="226">
        <v>120</v>
      </c>
      <c r="E52" s="227">
        <v>0</v>
      </c>
      <c r="F52" s="227">
        <v>6</v>
      </c>
      <c r="G52" s="227" t="s">
        <v>894</v>
      </c>
      <c r="H52" s="228">
        <v>15</v>
      </c>
      <c r="I52" s="346"/>
      <c r="J52" s="346"/>
      <c r="K52" s="346"/>
      <c r="L52" s="346"/>
      <c r="M52" s="346"/>
      <c r="N52" s="346"/>
    </row>
    <row r="53" spans="1:14" ht="14.5" x14ac:dyDescent="0.35">
      <c r="A53" s="351" t="s">
        <v>18</v>
      </c>
      <c r="B53" s="352">
        <v>45515</v>
      </c>
      <c r="C53" s="229"/>
      <c r="D53" s="230"/>
      <c r="E53" s="231"/>
      <c r="F53" s="231"/>
      <c r="G53" s="231"/>
      <c r="H53" s="232"/>
      <c r="I53" s="346"/>
      <c r="J53" s="346"/>
      <c r="K53" s="346"/>
      <c r="L53" s="346"/>
      <c r="M53" s="346"/>
      <c r="N53" s="346"/>
    </row>
    <row r="54" spans="1:14" ht="14.5" x14ac:dyDescent="0.35">
      <c r="A54" s="351" t="s">
        <v>20</v>
      </c>
      <c r="B54" s="352">
        <v>45516</v>
      </c>
      <c r="C54" s="225">
        <v>1033</v>
      </c>
      <c r="D54" s="226">
        <v>100</v>
      </c>
      <c r="E54" s="227">
        <v>1</v>
      </c>
      <c r="F54" s="227">
        <v>4</v>
      </c>
      <c r="G54" s="227" t="s">
        <v>895</v>
      </c>
      <c r="H54" s="228">
        <v>20</v>
      </c>
      <c r="I54" s="346"/>
      <c r="J54" s="346"/>
      <c r="K54" s="346"/>
      <c r="L54" s="346"/>
      <c r="M54" s="346"/>
      <c r="N54" s="346"/>
    </row>
    <row r="55" spans="1:14" ht="14.5" x14ac:dyDescent="0.35">
      <c r="A55" s="351" t="s">
        <v>22</v>
      </c>
      <c r="B55" s="352">
        <v>45517</v>
      </c>
      <c r="C55" s="382">
        <v>2927</v>
      </c>
      <c r="D55" s="383">
        <v>150</v>
      </c>
      <c r="E55" s="384">
        <v>1</v>
      </c>
      <c r="F55" s="384">
        <v>3</v>
      </c>
      <c r="G55" s="384" t="s">
        <v>896</v>
      </c>
      <c r="H55" s="385">
        <v>21</v>
      </c>
      <c r="I55" s="346" t="s">
        <v>821</v>
      </c>
      <c r="J55" s="346"/>
      <c r="K55" s="346"/>
      <c r="L55" s="346"/>
      <c r="M55" s="346"/>
      <c r="N55" s="346"/>
    </row>
    <row r="56" spans="1:14" ht="14.5" x14ac:dyDescent="0.35">
      <c r="A56" s="351" t="s">
        <v>24</v>
      </c>
      <c r="B56" s="352">
        <v>45518</v>
      </c>
      <c r="C56" s="225">
        <v>1954</v>
      </c>
      <c r="D56" s="226">
        <v>40</v>
      </c>
      <c r="E56" s="227">
        <v>0</v>
      </c>
      <c r="F56" s="227">
        <v>1</v>
      </c>
      <c r="G56" s="227" t="s">
        <v>897</v>
      </c>
      <c r="H56" s="228">
        <v>8</v>
      </c>
      <c r="I56" s="346"/>
      <c r="J56" s="346"/>
      <c r="K56" s="346"/>
      <c r="L56" s="346"/>
      <c r="M56" s="346"/>
      <c r="N56" s="346"/>
    </row>
    <row r="57" spans="1:14" ht="14.5" x14ac:dyDescent="0.35">
      <c r="A57" s="351" t="s">
        <v>10</v>
      </c>
      <c r="B57" s="352">
        <v>45519</v>
      </c>
      <c r="C57" s="382">
        <v>2049</v>
      </c>
      <c r="D57" s="354">
        <v>50</v>
      </c>
      <c r="E57" s="380">
        <v>0</v>
      </c>
      <c r="F57" s="380">
        <v>1</v>
      </c>
      <c r="G57" s="380" t="s">
        <v>898</v>
      </c>
      <c r="H57" s="381">
        <v>12</v>
      </c>
      <c r="I57" s="346"/>
      <c r="J57" s="346"/>
      <c r="K57" s="346"/>
      <c r="L57" s="346"/>
      <c r="M57" s="346"/>
      <c r="N57" s="346"/>
    </row>
    <row r="58" spans="1:14" ht="14.5" x14ac:dyDescent="0.35">
      <c r="A58" s="351" t="s">
        <v>13</v>
      </c>
      <c r="B58" s="352">
        <v>45520</v>
      </c>
      <c r="C58" s="372">
        <v>2802</v>
      </c>
      <c r="D58" s="378">
        <v>0</v>
      </c>
      <c r="E58" s="362">
        <v>0</v>
      </c>
      <c r="F58" s="362">
        <v>1</v>
      </c>
      <c r="G58" s="362" t="s">
        <v>899</v>
      </c>
      <c r="H58" s="363">
        <v>13</v>
      </c>
      <c r="I58" s="346"/>
      <c r="J58" s="346"/>
      <c r="K58" s="346"/>
      <c r="L58" s="346"/>
      <c r="M58" s="346"/>
      <c r="N58" s="346"/>
    </row>
    <row r="59" spans="1:14" ht="14.5" x14ac:dyDescent="0.35">
      <c r="A59" s="351" t="s">
        <v>16</v>
      </c>
      <c r="B59" s="352">
        <v>45521</v>
      </c>
      <c r="C59" s="382">
        <v>2296</v>
      </c>
      <c r="D59" s="383">
        <v>80</v>
      </c>
      <c r="E59" s="380">
        <v>0</v>
      </c>
      <c r="F59" s="380">
        <v>5</v>
      </c>
      <c r="G59" s="384" t="s">
        <v>900</v>
      </c>
      <c r="H59" s="381">
        <v>17</v>
      </c>
      <c r="I59" s="346"/>
      <c r="J59" s="346"/>
      <c r="K59" s="346"/>
      <c r="L59" s="346"/>
      <c r="M59" s="346"/>
      <c r="N59" s="346"/>
    </row>
    <row r="60" spans="1:14" ht="14.5" x14ac:dyDescent="0.35">
      <c r="A60" s="351" t="s">
        <v>18</v>
      </c>
      <c r="B60" s="352">
        <v>45522</v>
      </c>
      <c r="C60" s="387"/>
      <c r="D60" s="388"/>
      <c r="E60" s="389"/>
      <c r="F60" s="389"/>
      <c r="G60" s="389"/>
      <c r="H60" s="390"/>
      <c r="I60" s="346"/>
      <c r="J60" s="346"/>
      <c r="K60" s="346"/>
      <c r="L60" s="346"/>
      <c r="M60" s="346"/>
      <c r="N60" s="346"/>
    </row>
    <row r="61" spans="1:14" ht="14.5" x14ac:dyDescent="0.35">
      <c r="A61" s="351" t="s">
        <v>20</v>
      </c>
      <c r="B61" s="352">
        <v>45523</v>
      </c>
      <c r="C61" s="379">
        <v>1557</v>
      </c>
      <c r="D61" s="354">
        <v>220</v>
      </c>
      <c r="E61" s="380">
        <v>0</v>
      </c>
      <c r="F61" s="380">
        <v>12</v>
      </c>
      <c r="G61" s="380" t="s">
        <v>901</v>
      </c>
      <c r="H61" s="381">
        <v>22</v>
      </c>
      <c r="I61" s="346"/>
      <c r="J61" s="346"/>
      <c r="K61" s="346"/>
      <c r="L61" s="346"/>
      <c r="M61" s="346"/>
      <c r="N61" s="346"/>
    </row>
    <row r="62" spans="1:14" ht="14.5" x14ac:dyDescent="0.35">
      <c r="A62" s="351" t="s">
        <v>22</v>
      </c>
      <c r="B62" s="352">
        <v>45524</v>
      </c>
      <c r="C62" s="387">
        <v>2584</v>
      </c>
      <c r="D62" s="388">
        <v>261</v>
      </c>
      <c r="E62" s="389">
        <v>0</v>
      </c>
      <c r="F62" s="389">
        <v>6</v>
      </c>
      <c r="G62" s="380" t="s">
        <v>902</v>
      </c>
      <c r="H62" s="390">
        <v>15</v>
      </c>
      <c r="I62" s="346"/>
      <c r="J62" s="346"/>
      <c r="K62" s="346"/>
      <c r="L62" s="346"/>
      <c r="M62" s="346"/>
      <c r="N62" s="346"/>
    </row>
    <row r="63" spans="1:14" ht="14.5" x14ac:dyDescent="0.35">
      <c r="A63" s="351" t="s">
        <v>24</v>
      </c>
      <c r="B63" s="352">
        <v>45525</v>
      </c>
      <c r="C63" s="366">
        <v>2299</v>
      </c>
      <c r="D63" s="367">
        <v>25</v>
      </c>
      <c r="E63" s="368">
        <v>0</v>
      </c>
      <c r="F63" s="368">
        <v>2</v>
      </c>
      <c r="G63" s="368" t="s">
        <v>903</v>
      </c>
      <c r="H63" s="369">
        <v>6</v>
      </c>
      <c r="I63" s="346"/>
      <c r="J63" s="346"/>
      <c r="K63" s="346"/>
      <c r="L63" s="346"/>
      <c r="M63" s="346"/>
      <c r="N63" s="346"/>
    </row>
    <row r="64" spans="1:14" ht="14.5" x14ac:dyDescent="0.35">
      <c r="A64" s="351" t="s">
        <v>10</v>
      </c>
      <c r="B64" s="352">
        <v>45526</v>
      </c>
      <c r="C64" s="372">
        <v>2264</v>
      </c>
      <c r="D64" s="373">
        <v>40</v>
      </c>
      <c r="E64" s="374">
        <v>0</v>
      </c>
      <c r="F64" s="374">
        <v>0</v>
      </c>
      <c r="G64" s="374" t="s">
        <v>904</v>
      </c>
      <c r="H64" s="392">
        <v>10</v>
      </c>
      <c r="I64" s="346"/>
      <c r="J64" s="346"/>
      <c r="K64" s="346"/>
      <c r="L64" s="346"/>
      <c r="M64" s="346"/>
      <c r="N64" s="346"/>
    </row>
    <row r="65" spans="1:14" ht="14.5" x14ac:dyDescent="0.35">
      <c r="A65" s="351" t="s">
        <v>13</v>
      </c>
      <c r="B65" s="352">
        <v>45527</v>
      </c>
      <c r="C65" s="382">
        <v>1750</v>
      </c>
      <c r="D65" s="383">
        <v>58</v>
      </c>
      <c r="E65" s="384">
        <v>0</v>
      </c>
      <c r="F65" s="384">
        <v>0</v>
      </c>
      <c r="G65" s="467" t="s">
        <v>905</v>
      </c>
      <c r="H65" s="385">
        <v>9</v>
      </c>
      <c r="I65" s="346"/>
      <c r="J65" s="346"/>
      <c r="K65" s="346"/>
      <c r="L65" s="346"/>
      <c r="M65" s="346"/>
      <c r="N65" s="346"/>
    </row>
    <row r="66" spans="1:14" ht="14.5" x14ac:dyDescent="0.35">
      <c r="A66" s="351" t="s">
        <v>16</v>
      </c>
      <c r="B66" s="352">
        <v>45528</v>
      </c>
      <c r="C66" s="387">
        <v>1174</v>
      </c>
      <c r="D66" s="388">
        <v>75</v>
      </c>
      <c r="E66" s="389">
        <v>0</v>
      </c>
      <c r="F66" s="389">
        <v>3</v>
      </c>
      <c r="G66" s="239" t="s">
        <v>906</v>
      </c>
      <c r="H66" s="390">
        <v>7</v>
      </c>
      <c r="I66" s="346"/>
      <c r="J66" s="346"/>
      <c r="K66" s="346"/>
      <c r="L66" s="346"/>
      <c r="M66" s="346"/>
      <c r="N66" s="346"/>
    </row>
    <row r="67" spans="1:14" ht="14.5" x14ac:dyDescent="0.35">
      <c r="A67" s="351" t="s">
        <v>18</v>
      </c>
      <c r="B67" s="352">
        <v>45529</v>
      </c>
      <c r="C67" s="382"/>
      <c r="D67" s="383"/>
      <c r="E67" s="384"/>
      <c r="F67" s="384"/>
      <c r="G67" s="384"/>
      <c r="H67" s="385"/>
      <c r="I67" s="346"/>
      <c r="J67" s="346"/>
      <c r="K67" s="346"/>
      <c r="L67" s="346"/>
      <c r="M67" s="346"/>
      <c r="N67" s="346"/>
    </row>
    <row r="68" spans="1:14" ht="14.5" x14ac:dyDescent="0.35">
      <c r="A68" s="351" t="s">
        <v>20</v>
      </c>
      <c r="B68" s="352">
        <v>45530</v>
      </c>
      <c r="C68" s="372">
        <v>2341</v>
      </c>
      <c r="D68" s="373">
        <v>180</v>
      </c>
      <c r="E68" s="374">
        <v>1</v>
      </c>
      <c r="F68" s="374">
        <v>6</v>
      </c>
      <c r="G68" s="374" t="s">
        <v>907</v>
      </c>
      <c r="H68" s="392">
        <v>19</v>
      </c>
      <c r="I68" s="346"/>
      <c r="J68" s="346"/>
      <c r="K68" s="346"/>
      <c r="L68" s="346"/>
      <c r="M68" s="346"/>
      <c r="N68" s="346"/>
    </row>
    <row r="69" spans="1:14" ht="14.5" x14ac:dyDescent="0.35">
      <c r="A69" s="351" t="s">
        <v>22</v>
      </c>
      <c r="B69" s="352">
        <v>45531</v>
      </c>
      <c r="C69" s="379">
        <v>1919</v>
      </c>
      <c r="D69" s="354">
        <v>40</v>
      </c>
      <c r="E69" s="380">
        <v>0</v>
      </c>
      <c r="F69" s="380">
        <v>3</v>
      </c>
      <c r="G69" s="380" t="s">
        <v>908</v>
      </c>
      <c r="H69" s="381">
        <v>8</v>
      </c>
      <c r="I69" s="346"/>
      <c r="J69" s="346"/>
      <c r="K69" s="346"/>
      <c r="L69" s="346"/>
      <c r="M69" s="346"/>
      <c r="N69" s="346"/>
    </row>
    <row r="70" spans="1:14" ht="14.5" x14ac:dyDescent="0.35">
      <c r="A70" s="351" t="s">
        <v>24</v>
      </c>
      <c r="B70" s="352">
        <v>45532</v>
      </c>
      <c r="C70" s="377">
        <v>1988</v>
      </c>
      <c r="D70" s="378">
        <v>15</v>
      </c>
      <c r="E70" s="362">
        <v>0</v>
      </c>
      <c r="F70" s="362">
        <v>2</v>
      </c>
      <c r="G70" s="362" t="s">
        <v>909</v>
      </c>
      <c r="H70" s="363">
        <v>17</v>
      </c>
      <c r="I70" s="346"/>
      <c r="J70" s="346"/>
      <c r="K70" s="346"/>
      <c r="L70" s="346"/>
      <c r="M70" s="346"/>
      <c r="N70" s="346"/>
    </row>
    <row r="71" spans="1:14" ht="14.5" x14ac:dyDescent="0.35">
      <c r="A71" s="351" t="s">
        <v>10</v>
      </c>
      <c r="B71" s="352">
        <v>45533</v>
      </c>
      <c r="C71" s="382">
        <v>1704</v>
      </c>
      <c r="D71" s="263">
        <v>25</v>
      </c>
      <c r="E71" s="380">
        <v>0</v>
      </c>
      <c r="F71" s="380">
        <v>1</v>
      </c>
      <c r="G71" s="380" t="s">
        <v>910</v>
      </c>
      <c r="H71" s="381">
        <v>12</v>
      </c>
      <c r="I71" s="346"/>
      <c r="J71" s="346"/>
      <c r="K71" s="346"/>
      <c r="L71" s="346"/>
      <c r="M71" s="346"/>
      <c r="N71" s="346"/>
    </row>
    <row r="72" spans="1:14" ht="14.5" x14ac:dyDescent="0.35">
      <c r="A72" s="351" t="s">
        <v>13</v>
      </c>
      <c r="B72" s="352">
        <v>45534</v>
      </c>
      <c r="C72" s="377">
        <v>3096</v>
      </c>
      <c r="D72" s="378">
        <v>65</v>
      </c>
      <c r="E72" s="362">
        <v>0</v>
      </c>
      <c r="F72" s="362">
        <v>2</v>
      </c>
      <c r="G72" s="362" t="s">
        <v>911</v>
      </c>
      <c r="H72" s="363">
        <v>15</v>
      </c>
      <c r="I72" s="346"/>
      <c r="J72" s="346"/>
      <c r="K72" s="346"/>
      <c r="L72" s="346"/>
      <c r="M72" s="346"/>
      <c r="N72" s="346"/>
    </row>
    <row r="73" spans="1:14" thickBot="1" x14ac:dyDescent="0.4">
      <c r="A73" s="351" t="s">
        <v>16</v>
      </c>
      <c r="B73" s="352">
        <v>45535</v>
      </c>
      <c r="C73" s="415">
        <v>2661</v>
      </c>
      <c r="D73" s="416">
        <v>150</v>
      </c>
      <c r="E73" s="410">
        <v>1</v>
      </c>
      <c r="F73" s="410">
        <v>12</v>
      </c>
      <c r="G73" s="410" t="s">
        <v>912</v>
      </c>
      <c r="H73" s="417">
        <v>21</v>
      </c>
      <c r="I73" s="346"/>
      <c r="J73" s="346"/>
      <c r="K73" s="346"/>
      <c r="L73" s="346"/>
      <c r="M73" s="346"/>
      <c r="N73" s="346"/>
    </row>
    <row r="74" spans="1:14" thickBot="1" x14ac:dyDescent="0.4">
      <c r="A74" s="406"/>
      <c r="B74" s="418"/>
      <c r="C74" s="258">
        <f>SUM(C43:C73)</f>
        <v>56018</v>
      </c>
      <c r="D74" s="259">
        <f>SUM(D43:D73)</f>
        <v>2537</v>
      </c>
      <c r="E74" s="260">
        <f>SUM(E43:E73)</f>
        <v>6</v>
      </c>
      <c r="F74" s="260">
        <f>SUM(F43:F73)</f>
        <v>90</v>
      </c>
      <c r="G74" s="261" t="s">
        <v>815</v>
      </c>
      <c r="H74" s="261">
        <f>SUM(H43:H73)</f>
        <v>357</v>
      </c>
      <c r="I74" s="399"/>
      <c r="J74" s="399"/>
      <c r="K74" s="346"/>
      <c r="L74" s="346"/>
      <c r="M74" s="346"/>
      <c r="N74" s="346"/>
    </row>
    <row r="75" spans="1:14" ht="14.5" x14ac:dyDescent="0.35">
      <c r="A75" s="346"/>
      <c r="B75" s="407"/>
      <c r="C75" s="399"/>
      <c r="D75" s="346"/>
      <c r="E75" s="475"/>
      <c r="F75" s="511"/>
      <c r="G75" s="346"/>
      <c r="H75" s="346"/>
      <c r="I75" s="346"/>
      <c r="J75" s="346"/>
      <c r="K75" s="346"/>
      <c r="L75" s="346"/>
      <c r="M75" s="346"/>
    </row>
    <row r="76" spans="1:14" thickBot="1" x14ac:dyDescent="0.4">
      <c r="A76" s="346"/>
      <c r="B76" s="407"/>
      <c r="C76" s="399"/>
      <c r="D76" s="346"/>
      <c r="E76" s="399"/>
      <c r="F76" s="346"/>
      <c r="G76" s="346"/>
      <c r="H76" s="346"/>
      <c r="I76" s="346"/>
      <c r="J76" s="346"/>
      <c r="K76" s="346"/>
      <c r="L76" s="346"/>
      <c r="M76" s="346"/>
    </row>
    <row r="77" spans="1:14" ht="15.65" customHeight="1" x14ac:dyDescent="0.4">
      <c r="A77" s="348"/>
      <c r="B77" s="926" t="s">
        <v>53</v>
      </c>
      <c r="C77" s="935" t="s">
        <v>0</v>
      </c>
      <c r="D77" s="298" t="s">
        <v>2</v>
      </c>
      <c r="E77" s="184" t="s">
        <v>3</v>
      </c>
      <c r="F77" s="185" t="s">
        <v>143</v>
      </c>
      <c r="G77" s="186" t="s">
        <v>6</v>
      </c>
      <c r="H77" s="187" t="s">
        <v>7</v>
      </c>
      <c r="I77" s="349"/>
      <c r="J77" s="349"/>
      <c r="K77" s="349"/>
      <c r="L77" s="349"/>
      <c r="M77" s="349"/>
      <c r="N77" s="349"/>
    </row>
    <row r="78" spans="1:14" ht="29" x14ac:dyDescent="0.35">
      <c r="A78" s="350"/>
      <c r="B78" s="934"/>
      <c r="C78" s="936"/>
      <c r="D78" s="299" t="s">
        <v>0</v>
      </c>
      <c r="E78" s="188" t="s">
        <v>0</v>
      </c>
      <c r="F78" s="183" t="s">
        <v>0</v>
      </c>
      <c r="G78" s="500" t="s">
        <v>8</v>
      </c>
      <c r="H78" s="501" t="s">
        <v>9</v>
      </c>
      <c r="I78" s="346"/>
      <c r="J78" s="346"/>
      <c r="M78" s="346"/>
      <c r="N78" s="346"/>
    </row>
    <row r="79" spans="1:14" ht="14.5" x14ac:dyDescent="0.35">
      <c r="A79" s="351" t="s">
        <v>10</v>
      </c>
      <c r="B79" s="352">
        <v>45505</v>
      </c>
      <c r="C79" s="353">
        <v>700</v>
      </c>
      <c r="D79" s="354">
        <v>0</v>
      </c>
      <c r="E79" s="355">
        <v>0</v>
      </c>
      <c r="F79" s="466">
        <v>0</v>
      </c>
      <c r="G79" s="380" t="s">
        <v>913</v>
      </c>
      <c r="H79" s="462">
        <v>4</v>
      </c>
      <c r="I79" s="346"/>
      <c r="J79" s="346"/>
      <c r="K79" s="923" t="s">
        <v>12</v>
      </c>
      <c r="L79" s="923"/>
      <c r="M79" s="346"/>
      <c r="N79" s="346"/>
    </row>
    <row r="80" spans="1:14" ht="14.5" x14ac:dyDescent="0.35">
      <c r="A80" s="351" t="s">
        <v>13</v>
      </c>
      <c r="B80" s="352">
        <v>45506</v>
      </c>
      <c r="C80" s="377">
        <v>1154</v>
      </c>
      <c r="D80" s="378">
        <v>0</v>
      </c>
      <c r="E80" s="362">
        <v>0</v>
      </c>
      <c r="F80" s="362">
        <v>3</v>
      </c>
      <c r="G80" s="362" t="s">
        <v>914</v>
      </c>
      <c r="H80" s="363">
        <v>13</v>
      </c>
      <c r="I80" s="346"/>
      <c r="J80" s="346"/>
      <c r="K80" s="408" t="s">
        <v>15</v>
      </c>
      <c r="L80" s="409">
        <v>52000</v>
      </c>
      <c r="M80" s="346"/>
      <c r="N80" s="346"/>
    </row>
    <row r="81" spans="1:14" ht="14.5" x14ac:dyDescent="0.35">
      <c r="A81" s="351" t="s">
        <v>16</v>
      </c>
      <c r="B81" s="352">
        <v>45507</v>
      </c>
      <c r="C81" s="366">
        <v>1696</v>
      </c>
      <c r="D81" s="367">
        <v>87</v>
      </c>
      <c r="E81" s="368">
        <v>0</v>
      </c>
      <c r="F81" s="368">
        <v>3</v>
      </c>
      <c r="G81" s="368" t="s">
        <v>915</v>
      </c>
      <c r="H81" s="369">
        <v>16</v>
      </c>
      <c r="I81" s="346"/>
      <c r="J81" s="346"/>
      <c r="K81" s="370" t="s">
        <v>17</v>
      </c>
      <c r="L81" s="411">
        <v>2200</v>
      </c>
      <c r="M81" s="346"/>
      <c r="N81" s="346"/>
    </row>
    <row r="82" spans="1:14" ht="14.5" x14ac:dyDescent="0.35">
      <c r="A82" s="351" t="s">
        <v>18</v>
      </c>
      <c r="B82" s="352">
        <v>45508</v>
      </c>
      <c r="C82" s="372"/>
      <c r="D82" s="373"/>
      <c r="E82" s="374"/>
      <c r="F82" s="374"/>
      <c r="G82" s="374"/>
      <c r="H82" s="392"/>
      <c r="I82" s="346"/>
      <c r="J82" s="346"/>
      <c r="K82" s="412" t="s">
        <v>3</v>
      </c>
      <c r="L82" s="413">
        <v>15</v>
      </c>
      <c r="M82" s="346"/>
      <c r="N82" s="346"/>
    </row>
    <row r="83" spans="1:14" ht="14.5" x14ac:dyDescent="0.35">
      <c r="A83" s="351" t="s">
        <v>20</v>
      </c>
      <c r="B83" s="352">
        <v>45509</v>
      </c>
      <c r="C83" s="366">
        <v>4188</v>
      </c>
      <c r="D83" s="367">
        <v>156</v>
      </c>
      <c r="E83" s="368">
        <v>1</v>
      </c>
      <c r="F83" s="368">
        <v>4</v>
      </c>
      <c r="G83" s="368" t="s">
        <v>916</v>
      </c>
      <c r="H83" s="369">
        <v>20</v>
      </c>
      <c r="I83" s="346"/>
      <c r="J83" s="346"/>
      <c r="K83" s="346"/>
      <c r="L83" s="346"/>
      <c r="M83" s="346"/>
      <c r="N83" s="346"/>
    </row>
    <row r="84" spans="1:14" ht="14.5" x14ac:dyDescent="0.35">
      <c r="A84" s="351" t="s">
        <v>22</v>
      </c>
      <c r="B84" s="352">
        <v>45510</v>
      </c>
      <c r="C84" s="377">
        <v>2018</v>
      </c>
      <c r="D84" s="378">
        <v>151</v>
      </c>
      <c r="E84" s="362">
        <v>0</v>
      </c>
      <c r="F84" s="362">
        <v>2</v>
      </c>
      <c r="G84" s="362" t="s">
        <v>917</v>
      </c>
      <c r="H84" s="363">
        <v>8</v>
      </c>
      <c r="I84" s="346"/>
      <c r="J84" s="346"/>
      <c r="K84" s="346"/>
      <c r="L84" s="346"/>
      <c r="M84" s="346"/>
      <c r="N84" s="346"/>
    </row>
    <row r="85" spans="1:14" ht="14.5" x14ac:dyDescent="0.35">
      <c r="A85" s="351" t="s">
        <v>24</v>
      </c>
      <c r="B85" s="352">
        <v>45511</v>
      </c>
      <c r="C85" s="379">
        <v>981</v>
      </c>
      <c r="D85" s="354">
        <v>87</v>
      </c>
      <c r="E85" s="380">
        <v>0</v>
      </c>
      <c r="F85" s="380">
        <v>1</v>
      </c>
      <c r="G85" s="380" t="s">
        <v>918</v>
      </c>
      <c r="H85" s="381">
        <v>7</v>
      </c>
      <c r="I85" s="346"/>
      <c r="J85" s="346"/>
      <c r="K85" s="346"/>
      <c r="L85" s="346"/>
      <c r="M85" s="346"/>
      <c r="N85" s="346"/>
    </row>
    <row r="86" spans="1:14" ht="14.5" x14ac:dyDescent="0.35">
      <c r="A86" s="351" t="s">
        <v>10</v>
      </c>
      <c r="B86" s="352">
        <v>45512</v>
      </c>
      <c r="C86" s="217">
        <v>1331</v>
      </c>
      <c r="D86" s="218">
        <v>0</v>
      </c>
      <c r="E86" s="219">
        <v>0</v>
      </c>
      <c r="F86" s="219">
        <v>3</v>
      </c>
      <c r="G86" s="219" t="s">
        <v>919</v>
      </c>
      <c r="H86" s="220">
        <v>10</v>
      </c>
      <c r="I86" s="346"/>
      <c r="J86" s="346"/>
      <c r="K86" s="346"/>
      <c r="L86" s="346"/>
      <c r="M86" s="346"/>
      <c r="N86" s="346"/>
    </row>
    <row r="87" spans="1:14" ht="14.5" x14ac:dyDescent="0.35">
      <c r="A87" s="351" t="s">
        <v>13</v>
      </c>
      <c r="B87" s="352">
        <v>45513</v>
      </c>
      <c r="C87" s="221">
        <v>2921</v>
      </c>
      <c r="D87" s="222">
        <v>58</v>
      </c>
      <c r="E87" s="223">
        <v>0</v>
      </c>
      <c r="F87" s="223">
        <v>2</v>
      </c>
      <c r="G87" s="223" t="s">
        <v>80</v>
      </c>
      <c r="H87" s="224">
        <v>17</v>
      </c>
      <c r="I87" s="346"/>
      <c r="J87" s="346"/>
      <c r="K87" s="346"/>
      <c r="L87" s="346"/>
      <c r="M87" s="346"/>
      <c r="N87" s="346"/>
    </row>
    <row r="88" spans="1:14" ht="14.5" x14ac:dyDescent="0.35">
      <c r="A88" s="351" t="s">
        <v>16</v>
      </c>
      <c r="B88" s="352">
        <v>45514</v>
      </c>
      <c r="C88" s="225">
        <v>1267</v>
      </c>
      <c r="D88" s="226">
        <v>145</v>
      </c>
      <c r="E88" s="227">
        <v>0</v>
      </c>
      <c r="F88" s="227">
        <v>2</v>
      </c>
      <c r="G88" s="227" t="s">
        <v>81</v>
      </c>
      <c r="H88" s="228">
        <v>6</v>
      </c>
      <c r="I88" s="346"/>
      <c r="J88" s="346"/>
      <c r="K88" s="346"/>
      <c r="L88" s="346"/>
      <c r="M88" s="346"/>
      <c r="N88" s="346"/>
    </row>
    <row r="89" spans="1:14" ht="14.5" x14ac:dyDescent="0.35">
      <c r="A89" s="351" t="s">
        <v>18</v>
      </c>
      <c r="B89" s="352">
        <v>45515</v>
      </c>
      <c r="C89" s="229"/>
      <c r="D89" s="230"/>
      <c r="E89" s="231"/>
      <c r="F89" s="231"/>
      <c r="G89" s="231"/>
      <c r="H89" s="232"/>
      <c r="I89" s="346"/>
      <c r="J89" s="346"/>
      <c r="K89" s="346"/>
      <c r="L89" s="346"/>
      <c r="M89" s="346"/>
      <c r="N89" s="346"/>
    </row>
    <row r="90" spans="1:14" ht="14.5" x14ac:dyDescent="0.35">
      <c r="A90" s="351" t="s">
        <v>20</v>
      </c>
      <c r="B90" s="352">
        <v>45516</v>
      </c>
      <c r="C90" s="225">
        <v>2160</v>
      </c>
      <c r="D90" s="226">
        <v>133</v>
      </c>
      <c r="E90" s="227">
        <v>0</v>
      </c>
      <c r="F90" s="227">
        <v>1</v>
      </c>
      <c r="G90" s="227" t="s">
        <v>920</v>
      </c>
      <c r="H90" s="228">
        <v>27</v>
      </c>
      <c r="I90" s="346"/>
      <c r="J90" s="346"/>
      <c r="K90" s="346"/>
      <c r="L90" s="346"/>
      <c r="M90" s="346"/>
      <c r="N90" s="346"/>
    </row>
    <row r="91" spans="1:14" ht="14.5" x14ac:dyDescent="0.35">
      <c r="A91" s="351" t="s">
        <v>22</v>
      </c>
      <c r="B91" s="352">
        <v>45517</v>
      </c>
      <c r="C91" s="382">
        <v>2106</v>
      </c>
      <c r="D91" s="383">
        <v>29</v>
      </c>
      <c r="E91" s="384">
        <v>0</v>
      </c>
      <c r="F91" s="384">
        <v>3</v>
      </c>
      <c r="G91" s="384" t="s">
        <v>921</v>
      </c>
      <c r="H91" s="385">
        <v>13</v>
      </c>
      <c r="I91" s="346"/>
      <c r="J91" s="346"/>
      <c r="K91" s="346"/>
      <c r="L91" s="346"/>
      <c r="M91" s="346"/>
      <c r="N91" s="346"/>
    </row>
    <row r="92" spans="1:14" ht="14.5" x14ac:dyDescent="0.35">
      <c r="A92" s="351" t="s">
        <v>24</v>
      </c>
      <c r="B92" s="352">
        <v>45518</v>
      </c>
      <c r="C92" s="225">
        <v>3290</v>
      </c>
      <c r="D92" s="226">
        <v>197</v>
      </c>
      <c r="E92" s="227">
        <v>0</v>
      </c>
      <c r="F92" s="227">
        <v>0</v>
      </c>
      <c r="G92" s="227" t="s">
        <v>922</v>
      </c>
      <c r="H92" s="228">
        <v>20</v>
      </c>
      <c r="I92" s="346"/>
      <c r="J92" s="346"/>
      <c r="K92" s="346"/>
      <c r="L92" s="346"/>
      <c r="M92" s="346"/>
      <c r="N92" s="346"/>
    </row>
    <row r="93" spans="1:14" ht="14.5" x14ac:dyDescent="0.35">
      <c r="A93" s="351" t="s">
        <v>10</v>
      </c>
      <c r="B93" s="352">
        <v>45519</v>
      </c>
      <c r="C93" s="382">
        <v>3834</v>
      </c>
      <c r="D93" s="354">
        <v>87</v>
      </c>
      <c r="E93" s="380">
        <v>0</v>
      </c>
      <c r="F93" s="380">
        <v>3</v>
      </c>
      <c r="G93" s="380" t="s">
        <v>923</v>
      </c>
      <c r="H93" s="381">
        <v>18</v>
      </c>
      <c r="I93" s="346"/>
      <c r="J93" s="346"/>
      <c r="K93" s="346"/>
      <c r="L93" s="346"/>
      <c r="M93" s="346"/>
      <c r="N93" s="346"/>
    </row>
    <row r="94" spans="1:14" ht="14.5" x14ac:dyDescent="0.35">
      <c r="A94" s="351" t="s">
        <v>13</v>
      </c>
      <c r="B94" s="352">
        <v>45520</v>
      </c>
      <c r="C94" s="372">
        <v>3486</v>
      </c>
      <c r="D94" s="378">
        <v>58</v>
      </c>
      <c r="E94" s="362">
        <v>0</v>
      </c>
      <c r="F94" s="362">
        <v>2</v>
      </c>
      <c r="G94" s="362" t="s">
        <v>644</v>
      </c>
      <c r="H94" s="363">
        <v>11</v>
      </c>
      <c r="I94" s="346"/>
      <c r="J94" s="346"/>
      <c r="K94" s="346"/>
      <c r="L94" s="346"/>
      <c r="M94" s="346"/>
      <c r="N94" s="346"/>
    </row>
    <row r="95" spans="1:14" ht="14.5" x14ac:dyDescent="0.35">
      <c r="A95" s="351" t="s">
        <v>16</v>
      </c>
      <c r="B95" s="352">
        <v>45521</v>
      </c>
      <c r="C95" s="382">
        <v>2516</v>
      </c>
      <c r="D95" s="383">
        <v>224</v>
      </c>
      <c r="E95" s="380">
        <v>0</v>
      </c>
      <c r="F95" s="380">
        <v>1</v>
      </c>
      <c r="G95" s="384" t="s">
        <v>924</v>
      </c>
      <c r="H95" s="381">
        <v>15</v>
      </c>
      <c r="I95" s="346"/>
      <c r="J95" s="346"/>
      <c r="K95" s="346"/>
      <c r="L95" s="346"/>
      <c r="M95" s="346"/>
      <c r="N95" s="346"/>
    </row>
    <row r="96" spans="1:14" ht="14.5" x14ac:dyDescent="0.35">
      <c r="A96" s="351" t="s">
        <v>18</v>
      </c>
      <c r="B96" s="352">
        <v>45522</v>
      </c>
      <c r="C96" s="387"/>
      <c r="D96" s="270"/>
      <c r="E96" s="389"/>
      <c r="F96" s="389"/>
      <c r="G96" s="389"/>
      <c r="H96" s="390"/>
      <c r="I96" s="346"/>
      <c r="J96" s="346"/>
      <c r="K96" s="346"/>
      <c r="L96" s="346"/>
      <c r="M96" s="346"/>
      <c r="N96" s="346"/>
    </row>
    <row r="97" spans="1:14" ht="14.5" x14ac:dyDescent="0.35">
      <c r="A97" s="351" t="s">
        <v>20</v>
      </c>
      <c r="B97" s="352">
        <v>45523</v>
      </c>
      <c r="C97" s="379">
        <v>1580</v>
      </c>
      <c r="D97" s="354">
        <v>116</v>
      </c>
      <c r="E97" s="380">
        <v>0</v>
      </c>
      <c r="F97" s="380">
        <v>1</v>
      </c>
      <c r="G97" s="380" t="s">
        <v>924</v>
      </c>
      <c r="H97" s="381">
        <v>20</v>
      </c>
      <c r="I97" s="346"/>
      <c r="J97" s="346"/>
      <c r="K97" s="346"/>
      <c r="L97" s="346"/>
      <c r="M97" s="346"/>
      <c r="N97" s="346"/>
    </row>
    <row r="98" spans="1:14" ht="14.5" x14ac:dyDescent="0.35">
      <c r="A98" s="351" t="s">
        <v>22</v>
      </c>
      <c r="B98" s="352">
        <v>45524</v>
      </c>
      <c r="C98" s="387">
        <v>2524</v>
      </c>
      <c r="D98" s="388">
        <v>145</v>
      </c>
      <c r="E98" s="389">
        <v>0</v>
      </c>
      <c r="F98" s="389">
        <v>1</v>
      </c>
      <c r="G98" s="380" t="s">
        <v>925</v>
      </c>
      <c r="H98" s="390">
        <v>18</v>
      </c>
      <c r="I98" s="346"/>
      <c r="J98" s="346"/>
      <c r="K98" s="346"/>
      <c r="L98" s="346"/>
      <c r="M98" s="346"/>
      <c r="N98" s="346"/>
    </row>
    <row r="99" spans="1:14" ht="14.5" x14ac:dyDescent="0.35">
      <c r="A99" s="351" t="s">
        <v>24</v>
      </c>
      <c r="B99" s="352">
        <v>45525</v>
      </c>
      <c r="C99" s="366">
        <v>1442</v>
      </c>
      <c r="D99" s="367">
        <v>166</v>
      </c>
      <c r="E99" s="368">
        <v>0</v>
      </c>
      <c r="F99" s="368">
        <v>0</v>
      </c>
      <c r="G99" s="368" t="s">
        <v>926</v>
      </c>
      <c r="H99" s="369">
        <v>22</v>
      </c>
      <c r="I99" s="346"/>
      <c r="J99" s="346"/>
      <c r="K99" s="346"/>
      <c r="L99" s="346"/>
      <c r="M99" s="346"/>
      <c r="N99" s="346"/>
    </row>
    <row r="100" spans="1:14" ht="14.5" x14ac:dyDescent="0.35">
      <c r="A100" s="351" t="s">
        <v>10</v>
      </c>
      <c r="B100" s="352">
        <v>45526</v>
      </c>
      <c r="C100" s="372">
        <v>4201</v>
      </c>
      <c r="D100" s="373">
        <v>116</v>
      </c>
      <c r="E100" s="374">
        <v>0</v>
      </c>
      <c r="F100" s="374">
        <v>2</v>
      </c>
      <c r="G100" s="374" t="s">
        <v>927</v>
      </c>
      <c r="H100" s="392">
        <v>8</v>
      </c>
      <c r="I100" s="346"/>
      <c r="J100" s="346"/>
      <c r="K100" s="346"/>
      <c r="L100" s="346"/>
      <c r="M100" s="346"/>
      <c r="N100" s="346"/>
    </row>
    <row r="101" spans="1:14" ht="14.5" x14ac:dyDescent="0.35">
      <c r="A101" s="351" t="s">
        <v>13</v>
      </c>
      <c r="B101" s="352">
        <v>45527</v>
      </c>
      <c r="C101" s="382">
        <v>1766</v>
      </c>
      <c r="D101" s="383">
        <v>58</v>
      </c>
      <c r="E101" s="384">
        <v>0</v>
      </c>
      <c r="F101" s="384">
        <v>1</v>
      </c>
      <c r="G101" s="384" t="s">
        <v>928</v>
      </c>
      <c r="H101" s="385">
        <v>10</v>
      </c>
      <c r="I101" s="346"/>
      <c r="J101" s="346"/>
      <c r="K101" s="346"/>
      <c r="L101" s="346"/>
      <c r="M101" s="346"/>
      <c r="N101" s="346"/>
    </row>
    <row r="102" spans="1:14" ht="14.5" x14ac:dyDescent="0.35">
      <c r="A102" s="351" t="s">
        <v>16</v>
      </c>
      <c r="B102" s="352">
        <v>45528</v>
      </c>
      <c r="C102" s="387">
        <v>2476</v>
      </c>
      <c r="D102" s="388">
        <v>0</v>
      </c>
      <c r="E102" s="389">
        <v>1</v>
      </c>
      <c r="F102" s="389">
        <v>5</v>
      </c>
      <c r="G102" s="239" t="s">
        <v>929</v>
      </c>
      <c r="H102" s="390">
        <v>19</v>
      </c>
      <c r="I102" s="346"/>
      <c r="J102" s="346"/>
      <c r="K102" s="346"/>
      <c r="L102" s="346"/>
      <c r="M102" s="346"/>
      <c r="N102" s="346"/>
    </row>
    <row r="103" spans="1:14" ht="14.5" x14ac:dyDescent="0.35">
      <c r="A103" s="351" t="s">
        <v>18</v>
      </c>
      <c r="B103" s="352">
        <v>45529</v>
      </c>
      <c r="C103" s="382"/>
      <c r="D103" s="383"/>
      <c r="E103" s="384"/>
      <c r="F103" s="384"/>
      <c r="G103" s="384"/>
      <c r="H103" s="385"/>
      <c r="I103" s="346"/>
      <c r="J103" s="346"/>
      <c r="K103" s="346"/>
      <c r="L103" s="346"/>
      <c r="M103" s="399"/>
      <c r="N103" s="346"/>
    </row>
    <row r="104" spans="1:14" ht="14.5" x14ac:dyDescent="0.35">
      <c r="A104" s="351" t="s">
        <v>20</v>
      </c>
      <c r="B104" s="352">
        <v>45530</v>
      </c>
      <c r="C104" s="372">
        <v>2546</v>
      </c>
      <c r="D104" s="373">
        <v>242</v>
      </c>
      <c r="E104" s="374">
        <v>0</v>
      </c>
      <c r="F104" s="374">
        <v>3</v>
      </c>
      <c r="G104" s="374" t="s">
        <v>930</v>
      </c>
      <c r="H104" s="392">
        <v>23</v>
      </c>
      <c r="I104" s="346"/>
      <c r="J104" s="346"/>
      <c r="K104" s="346"/>
      <c r="L104" s="346"/>
      <c r="M104" s="399"/>
      <c r="N104" s="346"/>
    </row>
    <row r="105" spans="1:14" ht="14.5" x14ac:dyDescent="0.35">
      <c r="A105" s="351" t="s">
        <v>22</v>
      </c>
      <c r="B105" s="352">
        <v>45531</v>
      </c>
      <c r="C105" s="379">
        <v>2528</v>
      </c>
      <c r="D105" s="354">
        <v>174</v>
      </c>
      <c r="E105" s="380">
        <v>0</v>
      </c>
      <c r="F105" s="380">
        <v>6</v>
      </c>
      <c r="G105" s="380" t="s">
        <v>931</v>
      </c>
      <c r="H105" s="419">
        <v>15</v>
      </c>
      <c r="I105" s="346"/>
      <c r="J105" s="346"/>
      <c r="K105" s="346"/>
      <c r="L105" s="346"/>
      <c r="M105" s="346"/>
      <c r="N105" s="346"/>
    </row>
    <row r="106" spans="1:14" ht="14.5" x14ac:dyDescent="0.35">
      <c r="A106" s="351" t="s">
        <v>24</v>
      </c>
      <c r="B106" s="352">
        <v>45532</v>
      </c>
      <c r="C106" s="377">
        <v>1121</v>
      </c>
      <c r="D106" s="378">
        <v>29</v>
      </c>
      <c r="E106" s="362">
        <v>1</v>
      </c>
      <c r="F106" s="362">
        <v>3</v>
      </c>
      <c r="G106" s="380" t="s">
        <v>931</v>
      </c>
      <c r="H106" s="363">
        <v>11</v>
      </c>
      <c r="I106" s="346"/>
      <c r="J106" s="346"/>
      <c r="M106" s="346"/>
      <c r="N106" s="346"/>
    </row>
    <row r="107" spans="1:14" ht="14.5" x14ac:dyDescent="0.35">
      <c r="A107" s="351" t="s">
        <v>10</v>
      </c>
      <c r="B107" s="352">
        <v>45533</v>
      </c>
      <c r="C107" s="382">
        <v>2001</v>
      </c>
      <c r="D107" s="354">
        <v>0</v>
      </c>
      <c r="E107" s="380">
        <v>0</v>
      </c>
      <c r="F107" s="386">
        <v>1</v>
      </c>
      <c r="G107" s="346" t="s">
        <v>932</v>
      </c>
      <c r="H107" s="381">
        <v>10</v>
      </c>
      <c r="I107" s="346"/>
      <c r="J107" s="346"/>
      <c r="M107" s="346"/>
      <c r="N107" s="346"/>
    </row>
    <row r="108" spans="1:14" ht="14.5" x14ac:dyDescent="0.35">
      <c r="A108" s="351" t="s">
        <v>13</v>
      </c>
      <c r="B108" s="352">
        <v>45534</v>
      </c>
      <c r="C108" s="377">
        <v>1794</v>
      </c>
      <c r="D108" s="378">
        <v>112</v>
      </c>
      <c r="E108" s="362">
        <v>0</v>
      </c>
      <c r="F108" s="362">
        <v>2</v>
      </c>
      <c r="G108" s="362" t="s">
        <v>932</v>
      </c>
      <c r="H108" s="363">
        <v>12</v>
      </c>
      <c r="I108" s="346"/>
      <c r="J108" s="346"/>
      <c r="M108" s="346"/>
      <c r="N108" s="346"/>
    </row>
    <row r="109" spans="1:14" thickBot="1" x14ac:dyDescent="0.4">
      <c r="A109" s="351" t="s">
        <v>16</v>
      </c>
      <c r="B109" s="352">
        <v>45535</v>
      </c>
      <c r="C109" s="415">
        <v>2510</v>
      </c>
      <c r="D109" s="416">
        <v>216</v>
      </c>
      <c r="E109" s="410">
        <v>0</v>
      </c>
      <c r="F109" s="410">
        <v>0</v>
      </c>
      <c r="G109" s="410" t="s">
        <v>835</v>
      </c>
      <c r="H109" s="417">
        <v>16</v>
      </c>
      <c r="I109" s="346"/>
      <c r="J109" s="346"/>
      <c r="M109" s="346"/>
      <c r="N109" s="346"/>
    </row>
    <row r="110" spans="1:14" thickBot="1" x14ac:dyDescent="0.4">
      <c r="A110" s="406"/>
      <c r="B110" s="418"/>
      <c r="C110" s="258">
        <f>SUM(C79:C109)</f>
        <v>60137</v>
      </c>
      <c r="D110" s="259">
        <f>SUM(D79:D109)</f>
        <v>2786</v>
      </c>
      <c r="E110" s="260">
        <f>SUM(E79:E109)</f>
        <v>3</v>
      </c>
      <c r="F110" s="260">
        <f>SUM(F79:F109)</f>
        <v>55</v>
      </c>
      <c r="G110" s="261" t="s">
        <v>835</v>
      </c>
      <c r="H110" s="261">
        <f>SUM(H79:H109)</f>
        <v>389</v>
      </c>
      <c r="I110" s="399"/>
      <c r="J110" s="399"/>
      <c r="K110" s="346"/>
      <c r="L110" s="346"/>
      <c r="M110" s="346"/>
      <c r="N110" s="346"/>
    </row>
    <row r="111" spans="1:14" ht="14.5" x14ac:dyDescent="0.35">
      <c r="A111" s="346"/>
      <c r="B111" s="407"/>
      <c r="C111" s="399"/>
      <c r="D111" s="475"/>
      <c r="E111" s="511"/>
      <c r="F111" s="346"/>
      <c r="G111" s="346"/>
      <c r="H111" s="346"/>
      <c r="I111" s="346"/>
      <c r="J111" s="346"/>
      <c r="K111" s="346"/>
      <c r="L111" s="346"/>
      <c r="M111" s="346"/>
    </row>
    <row r="112" spans="1:14" ht="14.5" x14ac:dyDescent="0.35">
      <c r="A112" s="346"/>
      <c r="B112" s="407"/>
      <c r="C112" s="399"/>
      <c r="D112" s="475"/>
      <c r="E112" s="511"/>
      <c r="F112" s="346"/>
      <c r="G112" s="346"/>
      <c r="H112" s="346"/>
      <c r="I112" s="346"/>
      <c r="J112" s="346"/>
      <c r="K112" s="346"/>
      <c r="L112" s="346"/>
      <c r="M112" s="346"/>
    </row>
    <row r="113" spans="1:13" ht="16" x14ac:dyDescent="0.4">
      <c r="A113" s="346"/>
      <c r="B113" s="407"/>
      <c r="C113" s="399"/>
      <c r="D113" s="475"/>
      <c r="E113" s="511"/>
      <c r="F113" s="346"/>
      <c r="G113" s="346"/>
      <c r="H113" s="346"/>
      <c r="I113" s="349"/>
      <c r="J113" s="349"/>
      <c r="K113" s="349"/>
      <c r="L113" s="349"/>
      <c r="M113" s="346"/>
    </row>
    <row r="114" spans="1:13" ht="25" customHeight="1" thickBot="1" x14ac:dyDescent="0.4">
      <c r="A114" s="346"/>
      <c r="B114" s="407"/>
      <c r="C114" s="399"/>
      <c r="D114" s="475"/>
      <c r="E114" s="511"/>
      <c r="F114" s="346"/>
      <c r="G114" s="346"/>
      <c r="H114" s="346"/>
      <c r="I114" s="346"/>
      <c r="J114" s="346"/>
      <c r="M114" s="346"/>
    </row>
    <row r="115" spans="1:13" ht="16" x14ac:dyDescent="0.4">
      <c r="A115" s="2"/>
      <c r="B115" s="926" t="s">
        <v>70</v>
      </c>
      <c r="C115" s="935" t="s">
        <v>0</v>
      </c>
      <c r="D115" s="298" t="s">
        <v>2</v>
      </c>
      <c r="E115" s="184" t="s">
        <v>3</v>
      </c>
      <c r="F115" s="185" t="s">
        <v>143</v>
      </c>
      <c r="G115" s="186" t="s">
        <v>6</v>
      </c>
      <c r="H115" s="187" t="s">
        <v>7</v>
      </c>
      <c r="I115" s="346"/>
      <c r="J115" s="346"/>
      <c r="M115" s="346"/>
    </row>
    <row r="116" spans="1:13" ht="29" x14ac:dyDescent="0.35">
      <c r="A116" s="8"/>
      <c r="B116" s="934"/>
      <c r="C116" s="936"/>
      <c r="D116" s="299" t="s">
        <v>0</v>
      </c>
      <c r="E116" s="188" t="s">
        <v>0</v>
      </c>
      <c r="F116" s="183" t="s">
        <v>0</v>
      </c>
      <c r="G116" s="189" t="s">
        <v>8</v>
      </c>
      <c r="H116" s="190" t="s">
        <v>9</v>
      </c>
      <c r="I116" s="346"/>
      <c r="J116" s="346"/>
      <c r="M116" s="346"/>
    </row>
    <row r="117" spans="1:13" ht="14.5" x14ac:dyDescent="0.35">
      <c r="A117" s="192" t="s">
        <v>10</v>
      </c>
      <c r="B117" s="193">
        <v>45505</v>
      </c>
      <c r="C117" s="194">
        <v>2146</v>
      </c>
      <c r="D117" s="195">
        <v>0</v>
      </c>
      <c r="E117" s="196">
        <v>0</v>
      </c>
      <c r="F117" s="269">
        <v>0</v>
      </c>
      <c r="G117" s="262" t="s">
        <v>933</v>
      </c>
      <c r="H117" s="199">
        <v>13</v>
      </c>
      <c r="I117" s="346"/>
      <c r="J117" s="346"/>
      <c r="M117" s="346"/>
    </row>
    <row r="118" spans="1:13" ht="14.5" x14ac:dyDescent="0.35">
      <c r="A118" s="192" t="s">
        <v>13</v>
      </c>
      <c r="B118" s="193">
        <v>45506</v>
      </c>
      <c r="C118" s="212">
        <v>1041</v>
      </c>
      <c r="D118" s="213">
        <v>0</v>
      </c>
      <c r="E118" s="203">
        <v>0</v>
      </c>
      <c r="F118" s="203">
        <v>0</v>
      </c>
      <c r="G118" s="203" t="s">
        <v>689</v>
      </c>
      <c r="H118" s="204">
        <v>6</v>
      </c>
      <c r="I118" s="346"/>
      <c r="J118" s="346"/>
      <c r="K118" s="472"/>
      <c r="L118" s="473"/>
      <c r="M118" s="346"/>
    </row>
    <row r="119" spans="1:13" ht="14.5" x14ac:dyDescent="0.35">
      <c r="A119" s="192" t="s">
        <v>16</v>
      </c>
      <c r="B119" s="193">
        <v>45507</v>
      </c>
      <c r="C119" s="205">
        <v>2006</v>
      </c>
      <c r="D119" s="206">
        <v>0</v>
      </c>
      <c r="E119" s="207">
        <v>0</v>
      </c>
      <c r="F119" s="207">
        <v>0</v>
      </c>
      <c r="G119" s="207" t="s">
        <v>689</v>
      </c>
      <c r="H119" s="208">
        <v>13</v>
      </c>
      <c r="I119" s="346"/>
      <c r="J119" s="346"/>
      <c r="K119" s="923" t="s">
        <v>12</v>
      </c>
      <c r="L119" s="923"/>
      <c r="M119" s="346"/>
    </row>
    <row r="120" spans="1:13" ht="14.5" x14ac:dyDescent="0.35">
      <c r="A120" s="192" t="s">
        <v>18</v>
      </c>
      <c r="B120" s="193">
        <v>45508</v>
      </c>
      <c r="C120" s="209"/>
      <c r="D120" s="210"/>
      <c r="E120" s="211"/>
      <c r="F120" s="211"/>
      <c r="G120" s="211"/>
      <c r="H120" s="241"/>
      <c r="I120" s="346"/>
      <c r="J120" s="346"/>
      <c r="K120" s="408" t="s">
        <v>15</v>
      </c>
      <c r="L120" s="409">
        <v>52000</v>
      </c>
      <c r="M120" s="346"/>
    </row>
    <row r="121" spans="1:13" ht="14.5" x14ac:dyDescent="0.35">
      <c r="A121" s="192" t="s">
        <v>20</v>
      </c>
      <c r="B121" s="193">
        <v>45509</v>
      </c>
      <c r="C121" s="205">
        <v>2790</v>
      </c>
      <c r="D121" s="206">
        <v>60</v>
      </c>
      <c r="E121" s="207">
        <v>0</v>
      </c>
      <c r="F121" s="207">
        <v>0</v>
      </c>
      <c r="G121" s="207" t="s">
        <v>405</v>
      </c>
      <c r="H121" s="208">
        <v>13</v>
      </c>
      <c r="I121" s="346"/>
      <c r="J121" s="346"/>
      <c r="K121" s="370" t="s">
        <v>17</v>
      </c>
      <c r="L121" s="411">
        <v>1500</v>
      </c>
      <c r="M121" s="346"/>
    </row>
    <row r="122" spans="1:13" ht="14.5" x14ac:dyDescent="0.35">
      <c r="A122" s="192" t="s">
        <v>22</v>
      </c>
      <c r="B122" s="193">
        <v>45510</v>
      </c>
      <c r="C122" s="212">
        <v>997</v>
      </c>
      <c r="D122" s="213">
        <v>110</v>
      </c>
      <c r="E122" s="203">
        <v>0</v>
      </c>
      <c r="F122" s="203">
        <v>0</v>
      </c>
      <c r="G122" s="203" t="s">
        <v>405</v>
      </c>
      <c r="H122" s="204">
        <v>6</v>
      </c>
      <c r="I122" s="346"/>
      <c r="J122" s="346"/>
      <c r="K122" s="412" t="s">
        <v>3</v>
      </c>
      <c r="L122" s="413">
        <v>10</v>
      </c>
      <c r="M122" s="346"/>
    </row>
    <row r="123" spans="1:13" ht="14.5" x14ac:dyDescent="0.35">
      <c r="A123" s="192" t="s">
        <v>24</v>
      </c>
      <c r="B123" s="193">
        <v>45511</v>
      </c>
      <c r="C123" s="214">
        <v>3017</v>
      </c>
      <c r="D123" s="195">
        <v>0</v>
      </c>
      <c r="E123" s="215">
        <v>0</v>
      </c>
      <c r="F123" s="215">
        <v>1</v>
      </c>
      <c r="G123" s="215" t="s">
        <v>933</v>
      </c>
      <c r="H123" s="216">
        <v>10</v>
      </c>
      <c r="I123" s="346"/>
      <c r="J123" s="346"/>
      <c r="K123" s="472"/>
      <c r="L123" s="473"/>
      <c r="M123" s="346"/>
    </row>
    <row r="124" spans="1:13" ht="14.5" x14ac:dyDescent="0.35">
      <c r="A124" s="192" t="s">
        <v>10</v>
      </c>
      <c r="B124" s="193">
        <v>45512</v>
      </c>
      <c r="C124" s="217">
        <v>820</v>
      </c>
      <c r="D124" s="218">
        <v>31</v>
      </c>
      <c r="E124" s="219">
        <v>0</v>
      </c>
      <c r="F124" s="219">
        <v>0</v>
      </c>
      <c r="G124" s="219" t="s">
        <v>689</v>
      </c>
      <c r="H124" s="220">
        <v>3</v>
      </c>
      <c r="I124" s="346"/>
      <c r="J124" s="346"/>
      <c r="K124" s="472"/>
      <c r="L124" s="473"/>
      <c r="M124" s="346"/>
    </row>
    <row r="125" spans="1:13" ht="14.5" x14ac:dyDescent="0.35">
      <c r="A125" s="192" t="s">
        <v>13</v>
      </c>
      <c r="B125" s="193">
        <v>45513</v>
      </c>
      <c r="C125" s="221">
        <v>2577</v>
      </c>
      <c r="D125" s="222">
        <v>30</v>
      </c>
      <c r="E125" s="223">
        <v>0</v>
      </c>
      <c r="F125" s="223">
        <v>0</v>
      </c>
      <c r="G125" s="223" t="s">
        <v>690</v>
      </c>
      <c r="H125" s="224">
        <v>13</v>
      </c>
      <c r="I125" s="346"/>
      <c r="J125" s="346"/>
      <c r="K125" s="472"/>
      <c r="L125" s="473"/>
      <c r="M125" s="346"/>
    </row>
    <row r="126" spans="1:13" ht="14.5" x14ac:dyDescent="0.35">
      <c r="A126" s="192" t="s">
        <v>16</v>
      </c>
      <c r="B126" s="193">
        <v>45514</v>
      </c>
      <c r="C126" s="225">
        <v>1477</v>
      </c>
      <c r="D126" s="226">
        <v>0</v>
      </c>
      <c r="E126" s="227">
        <v>0</v>
      </c>
      <c r="F126" s="227">
        <v>1</v>
      </c>
      <c r="G126" s="227" t="s">
        <v>934</v>
      </c>
      <c r="H126" s="228">
        <v>15</v>
      </c>
      <c r="I126" s="346"/>
      <c r="J126" s="346"/>
      <c r="K126" s="472"/>
      <c r="L126" s="473"/>
      <c r="M126" s="346"/>
    </row>
    <row r="127" spans="1:13" ht="14.5" x14ac:dyDescent="0.35">
      <c r="A127" s="192" t="s">
        <v>18</v>
      </c>
      <c r="B127" s="193">
        <v>45515</v>
      </c>
      <c r="C127" s="229"/>
      <c r="D127" s="230"/>
      <c r="E127" s="231"/>
      <c r="F127" s="231"/>
      <c r="G127" s="231"/>
      <c r="H127" s="232"/>
      <c r="I127" s="346"/>
      <c r="J127" s="346"/>
      <c r="K127" s="472"/>
      <c r="L127" s="473"/>
      <c r="M127" s="346"/>
    </row>
    <row r="128" spans="1:13" ht="14.5" x14ac:dyDescent="0.35">
      <c r="A128" s="192" t="s">
        <v>20</v>
      </c>
      <c r="B128" s="193">
        <v>45516</v>
      </c>
      <c r="C128" s="225">
        <v>1354</v>
      </c>
      <c r="D128" s="226">
        <v>60</v>
      </c>
      <c r="E128" s="227">
        <v>0</v>
      </c>
      <c r="F128" s="227">
        <v>1</v>
      </c>
      <c r="G128" s="227" t="s">
        <v>175</v>
      </c>
      <c r="H128" s="228">
        <v>11</v>
      </c>
      <c r="I128" s="346"/>
      <c r="J128" s="346"/>
      <c r="K128" s="472"/>
      <c r="L128" s="473"/>
      <c r="M128" s="346"/>
    </row>
    <row r="129" spans="1:13" ht="14.5" x14ac:dyDescent="0.35">
      <c r="A129" s="192" t="s">
        <v>22</v>
      </c>
      <c r="B129" s="193">
        <v>45517</v>
      </c>
      <c r="C129" s="233">
        <v>918</v>
      </c>
      <c r="D129" s="234">
        <v>30</v>
      </c>
      <c r="E129" s="235">
        <v>0</v>
      </c>
      <c r="F129" s="235">
        <v>1</v>
      </c>
      <c r="G129" s="235" t="s">
        <v>935</v>
      </c>
      <c r="H129" s="236">
        <v>6</v>
      </c>
      <c r="I129" s="346"/>
      <c r="J129" s="346"/>
      <c r="K129" s="472"/>
      <c r="L129" s="473"/>
      <c r="M129" s="346"/>
    </row>
    <row r="130" spans="1:13" ht="14.5" x14ac:dyDescent="0.35">
      <c r="A130" s="192" t="s">
        <v>24</v>
      </c>
      <c r="B130" s="193">
        <v>45518</v>
      </c>
      <c r="C130" s="225">
        <v>1744</v>
      </c>
      <c r="D130" s="226">
        <v>60</v>
      </c>
      <c r="E130" s="227">
        <v>0</v>
      </c>
      <c r="F130" s="227">
        <v>1</v>
      </c>
      <c r="G130" s="227" t="s">
        <v>857</v>
      </c>
      <c r="H130" s="228">
        <v>10</v>
      </c>
      <c r="I130" s="346"/>
      <c r="J130" s="346"/>
      <c r="K130" s="472"/>
      <c r="L130" s="473"/>
      <c r="M130" s="346"/>
    </row>
    <row r="131" spans="1:13" ht="14.5" x14ac:dyDescent="0.35">
      <c r="A131" s="192" t="s">
        <v>10</v>
      </c>
      <c r="B131" s="193">
        <v>45519</v>
      </c>
      <c r="C131" s="233">
        <v>3309</v>
      </c>
      <c r="D131" s="195">
        <v>75</v>
      </c>
      <c r="E131" s="215">
        <v>0</v>
      </c>
      <c r="F131" s="215">
        <v>0</v>
      </c>
      <c r="G131" s="215" t="s">
        <v>936</v>
      </c>
      <c r="H131" s="216">
        <v>14</v>
      </c>
      <c r="I131" s="346"/>
      <c r="J131" s="346"/>
      <c r="K131" s="346"/>
      <c r="L131" s="346"/>
      <c r="M131" s="346"/>
    </row>
    <row r="132" spans="1:13" ht="14.5" x14ac:dyDescent="0.35">
      <c r="A132" s="192" t="s">
        <v>13</v>
      </c>
      <c r="B132" s="193">
        <v>45520</v>
      </c>
      <c r="C132" s="209">
        <v>1495</v>
      </c>
      <c r="D132" s="213">
        <v>0</v>
      </c>
      <c r="E132" s="203">
        <v>0</v>
      </c>
      <c r="F132" s="203">
        <v>1</v>
      </c>
      <c r="G132" s="203" t="s">
        <v>937</v>
      </c>
      <c r="H132" s="204">
        <v>5</v>
      </c>
      <c r="I132" s="346"/>
      <c r="J132" s="346"/>
      <c r="K132" s="346"/>
      <c r="L132" s="346"/>
      <c r="M132" s="346"/>
    </row>
    <row r="133" spans="1:13" ht="14.5" x14ac:dyDescent="0.35">
      <c r="A133" s="192" t="s">
        <v>16</v>
      </c>
      <c r="B133" s="193">
        <v>45521</v>
      </c>
      <c r="C133" s="233">
        <v>2169</v>
      </c>
      <c r="D133" s="234">
        <v>0</v>
      </c>
      <c r="E133" s="215">
        <v>0</v>
      </c>
      <c r="F133" s="215">
        <v>0</v>
      </c>
      <c r="G133" s="235" t="s">
        <v>938</v>
      </c>
      <c r="H133" s="216">
        <v>13</v>
      </c>
      <c r="I133" s="346"/>
      <c r="J133" s="346"/>
      <c r="K133" s="346"/>
      <c r="L133" s="346"/>
      <c r="M133" s="346"/>
    </row>
    <row r="134" spans="1:13" ht="14.5" x14ac:dyDescent="0.35">
      <c r="A134" s="192" t="s">
        <v>18</v>
      </c>
      <c r="B134" s="193">
        <v>45522</v>
      </c>
      <c r="C134" s="237"/>
      <c r="D134" s="270"/>
      <c r="E134" s="239"/>
      <c r="F134" s="239"/>
      <c r="G134" s="239"/>
      <c r="H134" s="240"/>
      <c r="I134" s="346"/>
      <c r="J134" s="346"/>
      <c r="K134" s="346"/>
      <c r="L134" s="346"/>
      <c r="M134" s="346"/>
    </row>
    <row r="135" spans="1:13" ht="14.5" x14ac:dyDescent="0.35">
      <c r="A135" s="192" t="s">
        <v>20</v>
      </c>
      <c r="B135" s="193">
        <v>45523</v>
      </c>
      <c r="C135" s="214">
        <v>1338</v>
      </c>
      <c r="D135" s="195">
        <v>30</v>
      </c>
      <c r="E135" s="215">
        <v>0</v>
      </c>
      <c r="F135" s="215">
        <v>0</v>
      </c>
      <c r="G135" s="215" t="s">
        <v>780</v>
      </c>
      <c r="H135" s="216">
        <v>10</v>
      </c>
      <c r="I135" s="346"/>
      <c r="J135" s="346"/>
      <c r="K135" s="346"/>
      <c r="L135" s="346"/>
      <c r="M135" s="346"/>
    </row>
    <row r="136" spans="1:13" ht="14.5" x14ac:dyDescent="0.35">
      <c r="A136" s="192" t="s">
        <v>22</v>
      </c>
      <c r="B136" s="193">
        <v>45524</v>
      </c>
      <c r="C136" s="237">
        <v>1722</v>
      </c>
      <c r="D136" s="238">
        <v>65</v>
      </c>
      <c r="E136" s="239">
        <v>0</v>
      </c>
      <c r="F136" s="239">
        <v>0</v>
      </c>
      <c r="G136" s="239" t="s">
        <v>188</v>
      </c>
      <c r="H136" s="240">
        <v>9</v>
      </c>
      <c r="I136" s="346"/>
      <c r="J136" s="346"/>
      <c r="K136" s="346"/>
      <c r="L136" s="346"/>
      <c r="M136" s="346"/>
    </row>
    <row r="137" spans="1:13" ht="14.5" x14ac:dyDescent="0.35">
      <c r="A137" s="192" t="s">
        <v>24</v>
      </c>
      <c r="B137" s="193">
        <v>45525</v>
      </c>
      <c r="C137" s="205">
        <v>909</v>
      </c>
      <c r="D137" s="206">
        <v>25</v>
      </c>
      <c r="E137" s="207">
        <v>0</v>
      </c>
      <c r="F137" s="207">
        <v>0</v>
      </c>
      <c r="G137" s="207" t="s">
        <v>189</v>
      </c>
      <c r="H137" s="208">
        <v>6</v>
      </c>
      <c r="I137" s="346"/>
      <c r="J137" s="346"/>
      <c r="K137" s="346"/>
      <c r="L137" s="346"/>
      <c r="M137" s="346"/>
    </row>
    <row r="138" spans="1:13" ht="14.5" x14ac:dyDescent="0.35">
      <c r="A138" s="192" t="s">
        <v>10</v>
      </c>
      <c r="B138" s="193">
        <v>45526</v>
      </c>
      <c r="C138" s="209">
        <v>1751</v>
      </c>
      <c r="D138" s="210">
        <v>25</v>
      </c>
      <c r="E138" s="211">
        <v>0</v>
      </c>
      <c r="F138" s="211">
        <v>0</v>
      </c>
      <c r="G138" s="211" t="s">
        <v>939</v>
      </c>
      <c r="H138" s="241">
        <v>7</v>
      </c>
      <c r="I138" s="346"/>
      <c r="J138" s="346"/>
      <c r="K138" s="346"/>
      <c r="L138" s="346"/>
      <c r="M138" s="346"/>
    </row>
    <row r="139" spans="1:13" ht="14.5" x14ac:dyDescent="0.35">
      <c r="A139" s="192" t="s">
        <v>13</v>
      </c>
      <c r="B139" s="193">
        <v>45527</v>
      </c>
      <c r="C139" s="233">
        <v>915</v>
      </c>
      <c r="D139" s="234">
        <v>0</v>
      </c>
      <c r="E139" s="235">
        <v>0</v>
      </c>
      <c r="F139" s="235">
        <v>0</v>
      </c>
      <c r="G139" s="235" t="s">
        <v>939</v>
      </c>
      <c r="H139" s="236">
        <v>8</v>
      </c>
      <c r="I139" s="346"/>
      <c r="J139" s="346"/>
      <c r="K139" s="346"/>
      <c r="L139" s="346"/>
      <c r="M139" s="346"/>
    </row>
    <row r="140" spans="1:13" ht="14.5" x14ac:dyDescent="0.35">
      <c r="A140" s="192" t="s">
        <v>16</v>
      </c>
      <c r="B140" s="193">
        <v>45528</v>
      </c>
      <c r="C140" s="237">
        <v>1840</v>
      </c>
      <c r="D140" s="238">
        <v>0</v>
      </c>
      <c r="E140" s="239">
        <v>0</v>
      </c>
      <c r="F140" s="239">
        <v>1</v>
      </c>
      <c r="G140" s="239" t="s">
        <v>940</v>
      </c>
      <c r="H140" s="240">
        <v>10</v>
      </c>
      <c r="I140" s="346"/>
      <c r="J140" s="346"/>
      <c r="K140" s="346"/>
      <c r="L140" s="346"/>
      <c r="M140" s="346"/>
    </row>
    <row r="141" spans="1:13" ht="14.5" x14ac:dyDescent="0.35">
      <c r="A141" s="192" t="s">
        <v>18</v>
      </c>
      <c r="B141" s="193">
        <v>45529</v>
      </c>
      <c r="C141" s="233"/>
      <c r="D141" s="234"/>
      <c r="E141" s="235"/>
      <c r="F141" s="235"/>
      <c r="G141" s="235"/>
      <c r="H141" s="236"/>
      <c r="I141" s="346"/>
      <c r="J141" s="346"/>
      <c r="K141" s="346"/>
      <c r="L141" s="346"/>
      <c r="M141" s="346"/>
    </row>
    <row r="142" spans="1:13" ht="14.5" x14ac:dyDescent="0.35">
      <c r="A142" s="192" t="s">
        <v>20</v>
      </c>
      <c r="B142" s="193">
        <v>45530</v>
      </c>
      <c r="C142" s="209">
        <v>3273</v>
      </c>
      <c r="D142" s="210">
        <v>60</v>
      </c>
      <c r="E142" s="211">
        <v>0</v>
      </c>
      <c r="F142" s="211">
        <v>4</v>
      </c>
      <c r="G142" s="211" t="s">
        <v>189</v>
      </c>
      <c r="H142" s="241">
        <v>19</v>
      </c>
      <c r="I142" s="346"/>
      <c r="J142" s="346"/>
      <c r="K142" s="346"/>
      <c r="L142" s="346"/>
      <c r="M142" s="346"/>
    </row>
    <row r="143" spans="1:13" ht="14.5" x14ac:dyDescent="0.35">
      <c r="A143" s="192" t="s">
        <v>22</v>
      </c>
      <c r="B143" s="193">
        <v>45531</v>
      </c>
      <c r="C143" s="214">
        <v>1142</v>
      </c>
      <c r="D143" s="195">
        <v>30</v>
      </c>
      <c r="E143" s="215">
        <v>0</v>
      </c>
      <c r="F143" s="215">
        <v>0</v>
      </c>
      <c r="G143" s="215" t="s">
        <v>192</v>
      </c>
      <c r="H143" s="271">
        <v>7</v>
      </c>
      <c r="I143" s="346"/>
      <c r="J143" s="346"/>
      <c r="K143" s="346"/>
      <c r="L143" s="346"/>
      <c r="M143" s="346"/>
    </row>
    <row r="144" spans="1:13" ht="14.5" x14ac:dyDescent="0.35">
      <c r="A144" s="192" t="s">
        <v>24</v>
      </c>
      <c r="B144" s="193">
        <v>45532</v>
      </c>
      <c r="C144" s="212">
        <v>1585</v>
      </c>
      <c r="D144" s="213">
        <v>0</v>
      </c>
      <c r="E144" s="203">
        <v>0</v>
      </c>
      <c r="F144" s="203">
        <v>0</v>
      </c>
      <c r="G144" s="215" t="s">
        <v>188</v>
      </c>
      <c r="H144" s="204">
        <v>6</v>
      </c>
      <c r="I144" s="346"/>
      <c r="J144" s="346"/>
      <c r="K144" s="346"/>
      <c r="L144" s="346"/>
      <c r="M144" s="346"/>
    </row>
    <row r="145" spans="1:13" ht="14.5" x14ac:dyDescent="0.35">
      <c r="A145" s="192" t="s">
        <v>10</v>
      </c>
      <c r="B145" s="193">
        <v>45533</v>
      </c>
      <c r="C145" s="233">
        <v>1470</v>
      </c>
      <c r="D145" s="195">
        <v>60</v>
      </c>
      <c r="E145" s="215">
        <v>0</v>
      </c>
      <c r="F145" s="247">
        <v>0</v>
      </c>
      <c r="G145" s="262" t="s">
        <v>857</v>
      </c>
      <c r="H145" s="216">
        <v>7</v>
      </c>
      <c r="I145" s="346"/>
      <c r="J145" s="346"/>
      <c r="K145" s="346"/>
      <c r="L145" s="346"/>
      <c r="M145" s="346"/>
    </row>
    <row r="146" spans="1:13" ht="14.5" x14ac:dyDescent="0.35">
      <c r="A146" s="192" t="s">
        <v>13</v>
      </c>
      <c r="B146" s="193">
        <v>45534</v>
      </c>
      <c r="C146" s="212">
        <v>2878</v>
      </c>
      <c r="D146" s="213">
        <v>35</v>
      </c>
      <c r="E146" s="203">
        <v>0</v>
      </c>
      <c r="F146" s="203">
        <v>1</v>
      </c>
      <c r="G146" s="203" t="s">
        <v>941</v>
      </c>
      <c r="H146" s="204">
        <v>12</v>
      </c>
      <c r="I146" s="346"/>
      <c r="J146" s="346"/>
      <c r="K146" s="346"/>
      <c r="L146" s="346"/>
      <c r="M146" s="346"/>
    </row>
    <row r="147" spans="1:13" thickBot="1" x14ac:dyDescent="0.4">
      <c r="A147" s="192" t="s">
        <v>16</v>
      </c>
      <c r="B147" s="193">
        <v>45535</v>
      </c>
      <c r="C147" s="264">
        <v>2613</v>
      </c>
      <c r="D147" s="265">
        <v>0</v>
      </c>
      <c r="E147" s="266">
        <v>0</v>
      </c>
      <c r="F147" s="266">
        <v>1</v>
      </c>
      <c r="G147" s="266" t="s">
        <v>941</v>
      </c>
      <c r="H147" s="267">
        <v>13</v>
      </c>
      <c r="I147" s="346"/>
      <c r="J147" s="346"/>
      <c r="K147" s="346"/>
      <c r="L147" s="346"/>
      <c r="M147" s="346"/>
    </row>
    <row r="148" spans="1:13" thickBot="1" x14ac:dyDescent="0.4">
      <c r="A148" s="257"/>
      <c r="B148" s="268"/>
      <c r="C148" s="258">
        <f>SUM(C117:C147)</f>
        <v>49296</v>
      </c>
      <c r="D148" s="259">
        <f>SUM(D117:D147)</f>
        <v>786</v>
      </c>
      <c r="E148" s="260">
        <f>SUM(E117:E147)</f>
        <v>0</v>
      </c>
      <c r="F148" s="260">
        <f>SUM(F117:F147)</f>
        <v>13</v>
      </c>
      <c r="G148" s="261" t="s">
        <v>175</v>
      </c>
      <c r="H148" s="261">
        <f>SUM(H117:H147)</f>
        <v>265</v>
      </c>
      <c r="I148" s="346"/>
      <c r="J148" s="346"/>
      <c r="K148" s="346"/>
      <c r="L148" s="346"/>
      <c r="M148" s="346"/>
    </row>
    <row r="149" spans="1:13" ht="14.5" x14ac:dyDescent="0.35">
      <c r="A149" s="262"/>
      <c r="B149" s="474"/>
      <c r="C149" s="475"/>
      <c r="D149" s="475"/>
      <c r="E149" s="476"/>
      <c r="F149" s="476"/>
      <c r="G149" s="477"/>
      <c r="H149" s="477"/>
      <c r="I149" s="346"/>
      <c r="J149" s="346"/>
      <c r="K149" s="346"/>
      <c r="L149" s="346"/>
      <c r="M149" s="346"/>
    </row>
    <row r="150" spans="1:13" ht="14.5" x14ac:dyDescent="0.35">
      <c r="A150" s="262"/>
      <c r="B150" s="474"/>
      <c r="C150" s="475"/>
      <c r="D150" s="475"/>
      <c r="E150" s="476"/>
      <c r="F150" s="476"/>
      <c r="G150" s="477"/>
      <c r="H150" s="477"/>
      <c r="I150" s="346"/>
      <c r="J150" s="346"/>
      <c r="K150" s="346"/>
      <c r="L150" s="346"/>
      <c r="M150" s="346"/>
    </row>
    <row r="151" spans="1:13" thickBot="1" x14ac:dyDescent="0.4">
      <c r="A151" s="262"/>
      <c r="B151" s="474"/>
      <c r="C151" s="475"/>
      <c r="D151" s="475"/>
      <c r="E151" s="476"/>
      <c r="F151" s="476"/>
      <c r="G151" s="477"/>
      <c r="H151" s="477"/>
      <c r="I151" s="346"/>
      <c r="J151" s="346"/>
      <c r="K151" s="346"/>
      <c r="L151" s="346"/>
      <c r="M151" s="346"/>
    </row>
    <row r="152" spans="1:13" ht="14.5" x14ac:dyDescent="0.35">
      <c r="A152" s="924" t="s">
        <v>85</v>
      </c>
      <c r="B152" s="938"/>
      <c r="C152" s="933" t="s">
        <v>1</v>
      </c>
      <c r="D152" s="944"/>
      <c r="E152" s="945"/>
      <c r="F152" s="346"/>
      <c r="G152" s="346"/>
      <c r="H152" s="346"/>
      <c r="I152" s="346"/>
      <c r="J152" s="346"/>
      <c r="K152" s="346"/>
      <c r="L152" s="346"/>
      <c r="M152" s="346"/>
    </row>
    <row r="153" spans="1:13" thickBot="1" x14ac:dyDescent="0.4">
      <c r="A153" s="939"/>
      <c r="B153" s="940"/>
      <c r="C153" s="946"/>
      <c r="D153" s="947"/>
      <c r="E153" s="949"/>
      <c r="F153" s="346"/>
      <c r="G153" s="346"/>
      <c r="H153" s="346"/>
      <c r="I153" s="346"/>
      <c r="J153" s="346"/>
      <c r="K153" s="346"/>
      <c r="L153" s="346"/>
      <c r="M153" s="346"/>
    </row>
    <row r="154" spans="1:13" ht="14.5" customHeight="1" x14ac:dyDescent="0.4">
      <c r="A154" s="939"/>
      <c r="B154" s="941"/>
      <c r="C154" s="921" t="s">
        <v>88</v>
      </c>
      <c r="D154" s="272" t="s">
        <v>89</v>
      </c>
      <c r="E154" s="273" t="s">
        <v>90</v>
      </c>
      <c r="F154" s="274" t="s">
        <v>91</v>
      </c>
      <c r="G154" s="346"/>
      <c r="H154" s="346"/>
      <c r="I154" s="346"/>
      <c r="J154" s="346"/>
      <c r="K154" s="346"/>
      <c r="L154" s="346"/>
      <c r="M154" s="346"/>
    </row>
    <row r="155" spans="1:13" ht="15" customHeight="1" x14ac:dyDescent="0.35">
      <c r="A155" s="942"/>
      <c r="B155" s="943"/>
      <c r="C155" s="948"/>
      <c r="D155" s="275" t="s">
        <v>7</v>
      </c>
      <c r="E155" s="276" t="s">
        <v>0</v>
      </c>
      <c r="F155" s="277" t="s">
        <v>0</v>
      </c>
      <c r="G155" s="346"/>
      <c r="H155" s="346"/>
      <c r="I155" s="346"/>
      <c r="J155" s="346"/>
      <c r="K155" s="346"/>
      <c r="L155" s="346"/>
      <c r="M155" s="346"/>
    </row>
    <row r="156" spans="1:13" ht="16" customHeight="1" x14ac:dyDescent="0.35">
      <c r="A156" s="192" t="s">
        <v>10</v>
      </c>
      <c r="B156" s="193">
        <v>45505</v>
      </c>
      <c r="C156" s="285">
        <v>5748</v>
      </c>
      <c r="D156" s="262">
        <v>23</v>
      </c>
      <c r="E156" s="216">
        <v>0</v>
      </c>
      <c r="F156" s="216">
        <v>0</v>
      </c>
      <c r="G156" s="346"/>
      <c r="H156" s="346"/>
      <c r="I156" s="346"/>
      <c r="J156" s="346"/>
      <c r="K156" s="346"/>
      <c r="L156" s="346"/>
      <c r="M156" s="346"/>
    </row>
    <row r="157" spans="1:13" ht="14.5" customHeight="1" x14ac:dyDescent="0.35">
      <c r="A157" s="192" t="s">
        <v>13</v>
      </c>
      <c r="B157" s="193">
        <v>45506</v>
      </c>
      <c r="C157" s="280">
        <v>920</v>
      </c>
      <c r="D157" s="197">
        <v>16</v>
      </c>
      <c r="E157" s="208">
        <v>0</v>
      </c>
      <c r="F157" s="208">
        <v>0</v>
      </c>
      <c r="G157" s="346"/>
      <c r="H157" s="346"/>
      <c r="I157" s="346"/>
      <c r="J157" s="346"/>
      <c r="K157" s="346"/>
      <c r="L157" s="346"/>
      <c r="M157" s="346"/>
    </row>
    <row r="158" spans="1:13" ht="14.5" x14ac:dyDescent="0.35">
      <c r="A158" s="192" t="s">
        <v>16</v>
      </c>
      <c r="B158" s="193">
        <v>45507</v>
      </c>
      <c r="C158" s="479">
        <v>540</v>
      </c>
      <c r="D158" s="262">
        <v>12</v>
      </c>
      <c r="E158" s="236">
        <v>0</v>
      </c>
      <c r="F158" s="236">
        <v>0</v>
      </c>
      <c r="G158" s="346"/>
      <c r="H158" s="346"/>
      <c r="I158" s="346"/>
      <c r="J158" s="346"/>
      <c r="K158" s="346"/>
      <c r="L158" s="346"/>
      <c r="M158" s="346"/>
    </row>
    <row r="159" spans="1:13" ht="14.5" x14ac:dyDescent="0.35">
      <c r="A159" s="192" t="s">
        <v>18</v>
      </c>
      <c r="B159" s="193">
        <v>45508</v>
      </c>
      <c r="C159" s="280"/>
      <c r="D159" s="197"/>
      <c r="E159" s="208"/>
      <c r="F159" s="208"/>
      <c r="G159" s="346"/>
      <c r="H159" s="346"/>
      <c r="I159" s="346"/>
      <c r="J159" s="346"/>
      <c r="K159" s="346"/>
      <c r="L159" s="346"/>
      <c r="M159" s="346"/>
    </row>
    <row r="160" spans="1:13" ht="14.5" x14ac:dyDescent="0.35">
      <c r="A160" s="192" t="s">
        <v>20</v>
      </c>
      <c r="B160" s="193">
        <v>45509</v>
      </c>
      <c r="C160" s="283">
        <v>3270</v>
      </c>
      <c r="D160" s="262">
        <v>12</v>
      </c>
      <c r="E160" s="216">
        <v>0</v>
      </c>
      <c r="F160" s="216">
        <v>0</v>
      </c>
      <c r="G160" s="346"/>
      <c r="H160" s="346"/>
      <c r="I160" s="346"/>
      <c r="J160" s="346"/>
      <c r="K160" s="346"/>
      <c r="L160" s="346"/>
      <c r="M160" s="346"/>
    </row>
    <row r="161" spans="1:13" ht="14.5" x14ac:dyDescent="0.35">
      <c r="A161" s="192" t="s">
        <v>22</v>
      </c>
      <c r="B161" s="193">
        <v>45510</v>
      </c>
      <c r="C161" s="283">
        <v>1218</v>
      </c>
      <c r="D161" s="197">
        <v>28</v>
      </c>
      <c r="E161" s="216">
        <v>0</v>
      </c>
      <c r="F161" s="216">
        <v>0</v>
      </c>
      <c r="G161" s="346"/>
      <c r="H161" s="346"/>
      <c r="I161" s="346"/>
      <c r="J161" s="346"/>
      <c r="K161" s="346"/>
      <c r="L161" s="346"/>
      <c r="M161" s="346"/>
    </row>
    <row r="162" spans="1:13" ht="14.5" x14ac:dyDescent="0.35">
      <c r="A162" s="192" t="s">
        <v>24</v>
      </c>
      <c r="B162" s="193">
        <v>45511</v>
      </c>
      <c r="C162" s="480">
        <v>5399</v>
      </c>
      <c r="D162" s="262">
        <v>20</v>
      </c>
      <c r="E162" s="232">
        <v>1</v>
      </c>
      <c r="F162" s="232">
        <v>0</v>
      </c>
      <c r="G162" s="346"/>
      <c r="H162" s="346"/>
      <c r="I162" s="346"/>
      <c r="J162" s="346"/>
      <c r="K162" s="346"/>
      <c r="L162" s="346"/>
      <c r="M162" s="346"/>
    </row>
    <row r="163" spans="1:13" ht="14.5" x14ac:dyDescent="0.35">
      <c r="A163" s="192" t="s">
        <v>10</v>
      </c>
      <c r="B163" s="193">
        <v>45512</v>
      </c>
      <c r="C163" s="285">
        <v>2134</v>
      </c>
      <c r="D163" s="197">
        <v>21</v>
      </c>
      <c r="E163" s="224">
        <v>1</v>
      </c>
      <c r="F163" s="224">
        <v>0</v>
      </c>
      <c r="G163" s="346"/>
      <c r="H163" s="346"/>
      <c r="I163" s="346"/>
      <c r="J163" s="346"/>
      <c r="K163" s="346"/>
      <c r="L163" s="346"/>
      <c r="M163" s="346"/>
    </row>
    <row r="164" spans="1:13" ht="14.5" x14ac:dyDescent="0.35">
      <c r="A164" s="192" t="s">
        <v>13</v>
      </c>
      <c r="B164" s="193">
        <v>45513</v>
      </c>
      <c r="C164" s="285">
        <v>1051</v>
      </c>
      <c r="D164" s="262">
        <v>17</v>
      </c>
      <c r="E164" s="224">
        <v>0</v>
      </c>
      <c r="F164" s="224">
        <v>0</v>
      </c>
      <c r="G164" s="346"/>
      <c r="H164" s="346"/>
      <c r="I164" s="346"/>
      <c r="J164" s="346"/>
      <c r="K164" s="346"/>
      <c r="L164" s="346"/>
      <c r="M164" s="346"/>
    </row>
    <row r="165" spans="1:13" ht="14.5" x14ac:dyDescent="0.35">
      <c r="A165" s="192" t="s">
        <v>16</v>
      </c>
      <c r="B165" s="193">
        <v>45514</v>
      </c>
      <c r="C165" s="285">
        <v>2070</v>
      </c>
      <c r="D165" s="197">
        <v>9</v>
      </c>
      <c r="E165" s="232">
        <v>0</v>
      </c>
      <c r="F165" s="232">
        <v>0</v>
      </c>
      <c r="G165" s="346"/>
      <c r="H165" s="346"/>
      <c r="I165" s="346"/>
      <c r="J165" s="346"/>
      <c r="K165" s="346"/>
      <c r="L165" s="346"/>
      <c r="M165" s="346"/>
    </row>
    <row r="166" spans="1:13" ht="14.5" x14ac:dyDescent="0.35">
      <c r="A166" s="192" t="s">
        <v>18</v>
      </c>
      <c r="B166" s="193">
        <v>45515</v>
      </c>
      <c r="C166" s="285"/>
      <c r="D166" s="262"/>
      <c r="E166" s="224"/>
      <c r="F166" s="224"/>
      <c r="G166" s="346"/>
      <c r="H166" s="346"/>
      <c r="I166" s="346"/>
      <c r="J166" s="346"/>
      <c r="K166" s="346"/>
      <c r="L166" s="346"/>
      <c r="M166" s="346"/>
    </row>
    <row r="167" spans="1:13" ht="14.5" customHeight="1" x14ac:dyDescent="0.35">
      <c r="A167" s="192" t="s">
        <v>20</v>
      </c>
      <c r="B167" s="193">
        <v>45516</v>
      </c>
      <c r="C167" s="285">
        <v>2830</v>
      </c>
      <c r="D167" s="197">
        <v>10</v>
      </c>
      <c r="E167" s="236">
        <v>0</v>
      </c>
      <c r="F167" s="236">
        <v>0</v>
      </c>
      <c r="G167" s="346"/>
      <c r="H167" s="346"/>
      <c r="I167" s="346"/>
      <c r="J167" s="346"/>
      <c r="K167" s="346"/>
      <c r="L167" s="346"/>
      <c r="M167" s="346"/>
    </row>
    <row r="168" spans="1:13" ht="15" customHeight="1" x14ac:dyDescent="0.35">
      <c r="A168" s="192" t="s">
        <v>22</v>
      </c>
      <c r="B168" s="193">
        <v>45517</v>
      </c>
      <c r="C168" s="285">
        <v>3278</v>
      </c>
      <c r="D168" s="262">
        <v>31</v>
      </c>
      <c r="E168" s="224">
        <v>0</v>
      </c>
      <c r="F168" s="224">
        <v>0</v>
      </c>
      <c r="G168" s="346"/>
      <c r="H168" s="346"/>
      <c r="I168" s="346"/>
      <c r="J168" s="346"/>
      <c r="K168" s="346"/>
      <c r="L168" s="346"/>
      <c r="M168" s="346"/>
    </row>
    <row r="169" spans="1:13" ht="16" customHeight="1" x14ac:dyDescent="0.35">
      <c r="A169" s="192" t="s">
        <v>24</v>
      </c>
      <c r="B169" s="193">
        <v>45518</v>
      </c>
      <c r="C169" s="285">
        <v>2704</v>
      </c>
      <c r="D169" s="197">
        <v>18</v>
      </c>
      <c r="E169" s="236">
        <v>0</v>
      </c>
      <c r="F169" s="236">
        <v>0</v>
      </c>
      <c r="G169" s="346"/>
      <c r="H169" s="346"/>
      <c r="I169" s="346"/>
      <c r="J169" s="346"/>
      <c r="K169" s="346"/>
      <c r="L169" s="346"/>
      <c r="M169" s="346"/>
    </row>
    <row r="170" spans="1:13" ht="14.5" customHeight="1" x14ac:dyDescent="0.35">
      <c r="A170" s="192" t="s">
        <v>10</v>
      </c>
      <c r="B170" s="193">
        <v>45519</v>
      </c>
      <c r="C170" s="285">
        <v>997</v>
      </c>
      <c r="D170" s="262">
        <v>20</v>
      </c>
      <c r="E170" s="216">
        <v>0</v>
      </c>
      <c r="F170" s="216">
        <v>0</v>
      </c>
      <c r="G170" s="346"/>
      <c r="H170" s="346"/>
      <c r="I170" s="346"/>
      <c r="J170" s="346"/>
      <c r="K170" s="346"/>
      <c r="L170" s="346"/>
      <c r="M170" s="346"/>
    </row>
    <row r="171" spans="1:13" ht="14.5" x14ac:dyDescent="0.35">
      <c r="A171" s="192" t="s">
        <v>13</v>
      </c>
      <c r="B171" s="193">
        <v>45520</v>
      </c>
      <c r="C171" s="285">
        <v>3989</v>
      </c>
      <c r="D171" s="286">
        <v>19</v>
      </c>
      <c r="E171" s="236">
        <v>0</v>
      </c>
      <c r="F171" s="236">
        <v>0</v>
      </c>
      <c r="G171" s="346"/>
      <c r="H171" s="346"/>
      <c r="I171" s="346"/>
      <c r="J171" s="346"/>
      <c r="K171" s="346"/>
      <c r="L171" s="346"/>
      <c r="M171" s="346"/>
    </row>
    <row r="172" spans="1:13" ht="14.5" x14ac:dyDescent="0.35">
      <c r="A172" s="192" t="s">
        <v>16</v>
      </c>
      <c r="B172" s="193">
        <v>45521</v>
      </c>
      <c r="C172" s="285">
        <v>190</v>
      </c>
      <c r="D172" s="481">
        <v>7</v>
      </c>
      <c r="E172" s="208">
        <v>0</v>
      </c>
      <c r="F172" s="208">
        <v>1</v>
      </c>
      <c r="G172" s="346"/>
      <c r="H172" s="346"/>
      <c r="I172" s="346"/>
      <c r="J172" s="346"/>
      <c r="K172" s="346"/>
      <c r="L172" s="346"/>
      <c r="M172" s="346"/>
    </row>
    <row r="173" spans="1:13" ht="14.5" x14ac:dyDescent="0.35">
      <c r="A173" s="192" t="s">
        <v>18</v>
      </c>
      <c r="B173" s="193">
        <v>45522</v>
      </c>
      <c r="C173" s="285"/>
      <c r="D173" s="288"/>
      <c r="E173" s="216"/>
      <c r="F173" s="216"/>
      <c r="G173" s="346"/>
      <c r="H173" s="346"/>
      <c r="I173" s="346"/>
      <c r="J173" s="346"/>
      <c r="K173" s="346"/>
      <c r="L173" s="346"/>
      <c r="M173" s="346"/>
    </row>
    <row r="174" spans="1:13" ht="15.65" customHeight="1" x14ac:dyDescent="0.35">
      <c r="A174" s="192" t="s">
        <v>20</v>
      </c>
      <c r="B174" s="193">
        <v>45523</v>
      </c>
      <c r="C174" s="285">
        <v>430</v>
      </c>
      <c r="D174" s="481">
        <v>9</v>
      </c>
      <c r="E174" s="208">
        <v>0</v>
      </c>
      <c r="F174" s="208">
        <v>0</v>
      </c>
      <c r="G174" s="346"/>
      <c r="H174" s="346"/>
      <c r="I174" s="346"/>
      <c r="J174" s="346"/>
      <c r="K174" s="346"/>
      <c r="L174" s="346"/>
      <c r="M174" s="346"/>
    </row>
    <row r="175" spans="1:13" ht="14.5" x14ac:dyDescent="0.35">
      <c r="A175" s="192" t="s">
        <v>22</v>
      </c>
      <c r="B175" s="193">
        <v>45524</v>
      </c>
      <c r="C175" s="285">
        <v>4892</v>
      </c>
      <c r="D175" s="286">
        <v>25</v>
      </c>
      <c r="E175" s="208">
        <v>0</v>
      </c>
      <c r="F175" s="208">
        <v>0</v>
      </c>
      <c r="G175" s="346"/>
      <c r="H175" s="346"/>
      <c r="I175" s="346"/>
      <c r="J175" s="346"/>
      <c r="K175" s="346"/>
      <c r="L175" s="346"/>
      <c r="M175" s="346"/>
    </row>
    <row r="176" spans="1:13" ht="14.5" x14ac:dyDescent="0.35">
      <c r="A176" s="192" t="s">
        <v>24</v>
      </c>
      <c r="B176" s="193">
        <v>45525</v>
      </c>
      <c r="C176" s="285">
        <v>917</v>
      </c>
      <c r="D176" s="481">
        <v>21</v>
      </c>
      <c r="E176" s="236">
        <v>0</v>
      </c>
      <c r="F176" s="236">
        <v>0</v>
      </c>
      <c r="G176" s="346"/>
      <c r="H176" s="346"/>
      <c r="I176" s="346"/>
      <c r="J176" s="346"/>
      <c r="K176" s="346"/>
      <c r="L176" s="346"/>
      <c r="M176" s="346"/>
    </row>
    <row r="177" spans="1:14" ht="14.5" x14ac:dyDescent="0.35">
      <c r="A177" s="192" t="s">
        <v>10</v>
      </c>
      <c r="B177" s="193">
        <v>45526</v>
      </c>
      <c r="C177" s="285">
        <v>2583</v>
      </c>
      <c r="D177" s="286">
        <v>19</v>
      </c>
      <c r="E177" s="236">
        <v>0</v>
      </c>
      <c r="F177" s="236">
        <v>0</v>
      </c>
      <c r="G177" s="346"/>
      <c r="H177" s="346"/>
      <c r="I177" s="346"/>
      <c r="J177" s="346"/>
      <c r="K177" s="346"/>
      <c r="L177" s="346"/>
      <c r="M177" s="346"/>
    </row>
    <row r="178" spans="1:14" ht="14.5" x14ac:dyDescent="0.35">
      <c r="A178" s="192" t="s">
        <v>13</v>
      </c>
      <c r="B178" s="193">
        <v>45527</v>
      </c>
      <c r="C178" s="285">
        <v>3469</v>
      </c>
      <c r="D178" s="481">
        <v>19</v>
      </c>
      <c r="E178" s="208">
        <v>0</v>
      </c>
      <c r="F178" s="208">
        <v>0</v>
      </c>
      <c r="G178" s="346"/>
      <c r="H178" s="346"/>
      <c r="I178" s="346"/>
      <c r="J178" s="346"/>
      <c r="K178" s="346"/>
      <c r="L178" s="346"/>
      <c r="M178" s="346"/>
    </row>
    <row r="179" spans="1:14" ht="14.5" x14ac:dyDescent="0.35">
      <c r="A179" s="192" t="s">
        <v>16</v>
      </c>
      <c r="B179" s="193">
        <v>45528</v>
      </c>
      <c r="C179" s="285">
        <v>735</v>
      </c>
      <c r="D179" s="286">
        <v>10</v>
      </c>
      <c r="E179" s="236">
        <v>0</v>
      </c>
      <c r="F179" s="236">
        <v>0</v>
      </c>
      <c r="G179" s="346"/>
      <c r="H179" s="346"/>
      <c r="I179" s="346"/>
      <c r="J179" s="346"/>
      <c r="K179" s="346"/>
      <c r="L179" s="346"/>
      <c r="M179" s="346"/>
    </row>
    <row r="180" spans="1:14" ht="14.5" x14ac:dyDescent="0.35">
      <c r="A180" s="192" t="s">
        <v>18</v>
      </c>
      <c r="B180" s="193">
        <v>45529</v>
      </c>
      <c r="C180" s="482"/>
      <c r="D180" s="481"/>
      <c r="E180" s="236"/>
      <c r="F180" s="236"/>
      <c r="G180" s="346"/>
      <c r="H180" s="346"/>
      <c r="I180" s="346"/>
      <c r="J180" s="346"/>
      <c r="K180" s="346"/>
      <c r="L180" s="346"/>
      <c r="M180" s="346"/>
    </row>
    <row r="181" spans="1:14" ht="14.5" x14ac:dyDescent="0.35">
      <c r="A181" s="192" t="s">
        <v>20</v>
      </c>
      <c r="B181" s="193">
        <v>45530</v>
      </c>
      <c r="C181" s="290">
        <v>2952</v>
      </c>
      <c r="D181" s="286">
        <v>11</v>
      </c>
      <c r="E181" s="216">
        <v>0</v>
      </c>
      <c r="F181" s="216">
        <v>0</v>
      </c>
      <c r="G181" s="346"/>
      <c r="H181" s="346"/>
      <c r="I181" s="346"/>
      <c r="J181" s="346"/>
      <c r="K181" s="346"/>
      <c r="L181" s="346"/>
      <c r="M181" s="346"/>
    </row>
    <row r="182" spans="1:14" ht="14.5" x14ac:dyDescent="0.35">
      <c r="A182" s="192" t="s">
        <v>22</v>
      </c>
      <c r="B182" s="193">
        <v>45531</v>
      </c>
      <c r="C182" s="290">
        <v>3268</v>
      </c>
      <c r="D182" s="481">
        <v>28</v>
      </c>
      <c r="E182" s="216">
        <v>0</v>
      </c>
      <c r="F182" s="216">
        <v>0</v>
      </c>
      <c r="G182" s="346"/>
      <c r="H182" s="346"/>
      <c r="I182" s="346"/>
      <c r="J182" s="346"/>
      <c r="K182" s="346"/>
      <c r="L182" s="346"/>
      <c r="M182" s="346"/>
    </row>
    <row r="183" spans="1:14" ht="14.5" x14ac:dyDescent="0.35">
      <c r="A183" s="192" t="s">
        <v>24</v>
      </c>
      <c r="B183" s="193">
        <v>45532</v>
      </c>
      <c r="C183" s="290">
        <v>2654</v>
      </c>
      <c r="D183" s="286">
        <v>21</v>
      </c>
      <c r="E183" s="216">
        <v>0</v>
      </c>
      <c r="F183" s="216">
        <v>0</v>
      </c>
      <c r="G183" s="346"/>
      <c r="H183" s="346"/>
      <c r="I183" s="346"/>
      <c r="J183" s="346"/>
      <c r="K183" s="346"/>
      <c r="L183" s="346"/>
      <c r="M183" s="346"/>
    </row>
    <row r="184" spans="1:14" ht="14.5" x14ac:dyDescent="0.35">
      <c r="A184" s="192" t="s">
        <v>10</v>
      </c>
      <c r="B184" s="193">
        <v>45533</v>
      </c>
      <c r="C184" s="290">
        <v>5335</v>
      </c>
      <c r="D184" s="481">
        <v>21</v>
      </c>
      <c r="E184" s="216">
        <v>0</v>
      </c>
      <c r="F184" s="216">
        <v>0</v>
      </c>
      <c r="G184" s="346"/>
      <c r="H184" s="346"/>
      <c r="I184" s="346"/>
      <c r="J184" s="346"/>
      <c r="K184" s="346"/>
      <c r="L184" s="346"/>
      <c r="M184" s="346"/>
    </row>
    <row r="185" spans="1:14" ht="14.5" x14ac:dyDescent="0.35">
      <c r="A185" s="192" t="s">
        <v>13</v>
      </c>
      <c r="B185" s="193">
        <v>45534</v>
      </c>
      <c r="C185" s="290">
        <v>415</v>
      </c>
      <c r="D185" s="262">
        <v>14</v>
      </c>
      <c r="E185" s="216">
        <v>0</v>
      </c>
      <c r="F185" s="216">
        <v>0</v>
      </c>
      <c r="G185" s="346"/>
      <c r="H185" s="346"/>
      <c r="I185" s="346"/>
      <c r="J185" s="346"/>
      <c r="K185" s="346"/>
      <c r="L185" s="346"/>
      <c r="M185" s="346"/>
    </row>
    <row r="186" spans="1:14" ht="14.5" x14ac:dyDescent="0.35">
      <c r="A186" s="192" t="s">
        <v>16</v>
      </c>
      <c r="B186" s="193">
        <v>45535</v>
      </c>
      <c r="C186" s="479">
        <v>430</v>
      </c>
      <c r="D186" s="197">
        <v>10</v>
      </c>
      <c r="E186" s="216">
        <v>0</v>
      </c>
      <c r="F186" s="216">
        <v>0</v>
      </c>
      <c r="G186" s="346"/>
      <c r="H186" s="346"/>
      <c r="I186" s="346"/>
      <c r="J186" s="346"/>
      <c r="K186" s="346"/>
      <c r="L186" s="346"/>
      <c r="M186" s="346"/>
    </row>
    <row r="187" spans="1:14" ht="14.5" x14ac:dyDescent="0.35">
      <c r="A187" s="257"/>
      <c r="B187" s="483"/>
      <c r="C187" s="484">
        <f>SUM(C155:C186)</f>
        <v>64418</v>
      </c>
      <c r="D187" s="485">
        <f>SUM(D155:D186)</f>
        <v>471</v>
      </c>
      <c r="E187" s="486">
        <f>SUM(E155:E186)</f>
        <v>2</v>
      </c>
      <c r="F187" s="487">
        <f>SUM(F155:F186)</f>
        <v>1</v>
      </c>
      <c r="G187" s="346"/>
      <c r="H187" s="346"/>
      <c r="I187" s="346"/>
      <c r="J187" s="346"/>
      <c r="K187" s="346"/>
      <c r="L187" s="346"/>
      <c r="M187" s="346"/>
    </row>
    <row r="188" spans="1:14" ht="14.5" x14ac:dyDescent="0.35">
      <c r="A188" s="346"/>
      <c r="B188" s="433"/>
      <c r="C188" s="399"/>
      <c r="D188" s="346"/>
      <c r="E188" s="399"/>
      <c r="F188" s="346"/>
      <c r="G188" s="346"/>
      <c r="H188" s="346"/>
      <c r="I188" s="346"/>
      <c r="J188" s="346"/>
      <c r="K188" s="346"/>
      <c r="L188" s="346"/>
      <c r="M188" s="346"/>
    </row>
    <row r="189" spans="1:14" ht="14.5" x14ac:dyDescent="0.35">
      <c r="A189" s="346"/>
      <c r="B189" s="346"/>
      <c r="C189" s="511"/>
      <c r="D189" s="511"/>
      <c r="E189" s="475"/>
      <c r="F189" s="511"/>
      <c r="G189" s="511"/>
      <c r="H189" s="346"/>
      <c r="I189" s="346"/>
      <c r="J189" s="346"/>
      <c r="K189" s="346"/>
      <c r="L189" s="346"/>
      <c r="M189" s="346"/>
    </row>
    <row r="190" spans="1:14" thickBot="1" x14ac:dyDescent="0.4">
      <c r="A190" s="346"/>
      <c r="D190" s="511"/>
      <c r="E190" s="511"/>
      <c r="F190" s="511"/>
      <c r="G190" s="518" t="s">
        <v>111</v>
      </c>
      <c r="H190" s="518" t="s">
        <v>112</v>
      </c>
      <c r="I190" s="518" t="s">
        <v>113</v>
      </c>
      <c r="J190" s="518" t="s">
        <v>114</v>
      </c>
      <c r="K190" s="518" t="s">
        <v>103</v>
      </c>
      <c r="L190" s="519" t="s">
        <v>104</v>
      </c>
      <c r="M190" s="519" t="s">
        <v>105</v>
      </c>
      <c r="N190" s="342" t="s">
        <v>98</v>
      </c>
    </row>
    <row r="191" spans="1:14" ht="14.5" x14ac:dyDescent="0.35">
      <c r="A191" s="520"/>
      <c r="B191" s="521" t="s">
        <v>106</v>
      </c>
      <c r="C191" s="522" t="s">
        <v>93</v>
      </c>
      <c r="D191" s="435"/>
      <c r="E191" s="436"/>
      <c r="F191" s="524" t="s">
        <v>99</v>
      </c>
      <c r="G191" s="493">
        <v>59678</v>
      </c>
      <c r="H191" s="525">
        <v>65325</v>
      </c>
      <c r="I191" s="526">
        <v>71363</v>
      </c>
      <c r="J191" s="526">
        <v>75374</v>
      </c>
      <c r="K191" s="437">
        <v>72600</v>
      </c>
      <c r="L191" s="528">
        <v>72030</v>
      </c>
      <c r="M191" s="528">
        <v>72545</v>
      </c>
      <c r="N191" s="438">
        <f>AVERAGE(G191:M191)</f>
        <v>69845</v>
      </c>
    </row>
    <row r="192" spans="1:14" ht="14.5" x14ac:dyDescent="0.35">
      <c r="A192" s="434" t="s">
        <v>99</v>
      </c>
      <c r="B192" s="468">
        <f>C35/27*27</f>
        <v>75155</v>
      </c>
      <c r="C192" s="465">
        <f>B192-72000</f>
        <v>3155</v>
      </c>
      <c r="D192" s="435"/>
      <c r="E192" s="436"/>
      <c r="F192" s="524" t="s">
        <v>37</v>
      </c>
      <c r="G192" s="493">
        <v>43365</v>
      </c>
      <c r="H192" s="525">
        <v>38287</v>
      </c>
      <c r="I192" s="526">
        <v>45858</v>
      </c>
      <c r="J192" s="526">
        <v>55612</v>
      </c>
      <c r="K192" s="437">
        <v>53980</v>
      </c>
      <c r="L192" s="528">
        <v>49420</v>
      </c>
      <c r="M192" s="528">
        <v>54821</v>
      </c>
      <c r="N192" s="438">
        <f t="shared" ref="N192:N197" si="0">AVERAGE(G192:M192)</f>
        <v>48763.285714285717</v>
      </c>
    </row>
    <row r="193" spans="1:14" ht="14.5" x14ac:dyDescent="0.35">
      <c r="A193" s="439" t="s">
        <v>37</v>
      </c>
      <c r="B193" s="468">
        <f>C74/27*27</f>
        <v>56018</v>
      </c>
      <c r="C193" s="465">
        <f>B193-54000</f>
        <v>2018</v>
      </c>
      <c r="D193" s="435"/>
      <c r="E193" s="436"/>
      <c r="F193" s="524" t="s">
        <v>100</v>
      </c>
      <c r="G193" s="493">
        <v>43344</v>
      </c>
      <c r="H193" s="525">
        <v>54088</v>
      </c>
      <c r="I193" s="526">
        <v>56961</v>
      </c>
      <c r="J193" s="526">
        <v>56144</v>
      </c>
      <c r="K193" s="437">
        <v>54118</v>
      </c>
      <c r="L193" s="528">
        <v>58320</v>
      </c>
      <c r="M193" s="528">
        <v>51390</v>
      </c>
      <c r="N193" s="438">
        <f t="shared" si="0"/>
        <v>53480.714285714283</v>
      </c>
    </row>
    <row r="194" spans="1:14" ht="14.5" x14ac:dyDescent="0.35">
      <c r="A194" s="439" t="s">
        <v>100</v>
      </c>
      <c r="B194" s="469">
        <f>C110/27*27</f>
        <v>60136.999999999993</v>
      </c>
      <c r="C194" s="465">
        <f>B194-52000</f>
        <v>8136.9999999999927</v>
      </c>
      <c r="D194" s="435"/>
      <c r="E194" s="436"/>
      <c r="F194" s="529" t="s">
        <v>70</v>
      </c>
      <c r="G194" s="494"/>
      <c r="H194" s="530"/>
      <c r="I194" s="531"/>
      <c r="J194" s="531"/>
      <c r="K194" s="464"/>
      <c r="L194" s="533"/>
      <c r="M194" s="533">
        <v>15641</v>
      </c>
      <c r="N194" s="438">
        <f>B195</f>
        <v>49296</v>
      </c>
    </row>
    <row r="195" spans="1:14" ht="14.5" x14ac:dyDescent="0.35">
      <c r="A195" s="463" t="s">
        <v>70</v>
      </c>
      <c r="B195" s="469">
        <f>C148/27*27</f>
        <v>49296</v>
      </c>
      <c r="C195" s="470">
        <f>B195-52000</f>
        <v>-2704</v>
      </c>
      <c r="D195" s="346"/>
      <c r="E195" s="399"/>
      <c r="F195" s="524" t="s">
        <v>88</v>
      </c>
      <c r="G195" s="493">
        <v>34063</v>
      </c>
      <c r="H195" s="525">
        <v>44190</v>
      </c>
      <c r="I195" s="526">
        <v>32129</v>
      </c>
      <c r="J195" s="526">
        <v>67460</v>
      </c>
      <c r="K195" s="437">
        <v>57984</v>
      </c>
      <c r="L195" s="528">
        <v>47444</v>
      </c>
      <c r="M195" s="528">
        <v>56888</v>
      </c>
      <c r="N195" s="438">
        <f t="shared" si="0"/>
        <v>48594</v>
      </c>
    </row>
    <row r="196" spans="1:14" thickBot="1" x14ac:dyDescent="0.4">
      <c r="A196" s="440" t="s">
        <v>88</v>
      </c>
      <c r="B196" s="468">
        <f>C187/27*27</f>
        <v>64418</v>
      </c>
      <c r="C196" s="534"/>
      <c r="D196" s="346"/>
      <c r="E196" s="346"/>
      <c r="F196" s="535" t="s">
        <v>101</v>
      </c>
      <c r="G196" s="495">
        <v>180450</v>
      </c>
      <c r="H196" s="443">
        <f>SUM(H191:H195)</f>
        <v>201890</v>
      </c>
      <c r="I196" s="443">
        <f>SUM(I191:I195)</f>
        <v>206311</v>
      </c>
      <c r="J196" s="443">
        <f>SUM(J191:J195)</f>
        <v>254590</v>
      </c>
      <c r="K196" s="443">
        <f>SUM(K191:K195)</f>
        <v>238682</v>
      </c>
      <c r="L196" s="443">
        <f>SUM(L191:L195)</f>
        <v>227214</v>
      </c>
      <c r="M196" s="443">
        <v>251285</v>
      </c>
      <c r="N196" s="478">
        <f>SUM(N191:N195)</f>
        <v>269979</v>
      </c>
    </row>
    <row r="197" spans="1:14" thickBot="1" x14ac:dyDescent="0.4">
      <c r="A197" s="441" t="s">
        <v>101</v>
      </c>
      <c r="B197" s="442">
        <f>SUM(B192:B196)</f>
        <v>305024</v>
      </c>
      <c r="C197" s="492">
        <f>SUM(C192:C196)</f>
        <v>10605.999999999993</v>
      </c>
      <c r="G197" s="446">
        <f>G196/27</f>
        <v>6683.333333333333</v>
      </c>
      <c r="H197" s="446">
        <f>H196/25</f>
        <v>8075.6</v>
      </c>
      <c r="I197" s="446">
        <f>I196/26</f>
        <v>7935.0384615384619</v>
      </c>
      <c r="J197" s="446">
        <f>J196/26</f>
        <v>9791.9230769230762</v>
      </c>
      <c r="K197" s="446">
        <f>K196/26</f>
        <v>9180.0769230769238</v>
      </c>
      <c r="L197" s="446">
        <f>L196/25</f>
        <v>9088.56</v>
      </c>
      <c r="M197" s="446">
        <v>9664.8076923076915</v>
      </c>
      <c r="N197" s="446">
        <f t="shared" si="0"/>
        <v>8631.3342124542123</v>
      </c>
    </row>
    <row r="198" spans="1:14" ht="14.5" x14ac:dyDescent="0.35">
      <c r="B198" s="444">
        <f>B197/27</f>
        <v>11297.185185185184</v>
      </c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</row>
    <row r="199" spans="1:14" ht="14.5" x14ac:dyDescent="0.35">
      <c r="B199" s="435"/>
      <c r="C199" s="433"/>
      <c r="D199" s="346"/>
      <c r="E199" s="346"/>
      <c r="F199" s="346"/>
      <c r="G199" s="346"/>
      <c r="H199" s="346"/>
      <c r="I199" s="346"/>
      <c r="J199" s="346"/>
      <c r="K199" s="346"/>
      <c r="L199" s="346"/>
      <c r="M199" s="346"/>
    </row>
    <row r="200" spans="1:14" ht="14.5" x14ac:dyDescent="0.35">
      <c r="A200" s="447" t="s">
        <v>102</v>
      </c>
      <c r="B200" s="447" t="s">
        <v>119</v>
      </c>
      <c r="C200" s="447" t="s">
        <v>120</v>
      </c>
      <c r="D200" s="447" t="s">
        <v>121</v>
      </c>
      <c r="E200" s="447" t="s">
        <v>122</v>
      </c>
      <c r="F200" s="448" t="s">
        <v>123</v>
      </c>
      <c r="G200" s="447" t="s">
        <v>124</v>
      </c>
      <c r="H200" s="447" t="s">
        <v>125</v>
      </c>
      <c r="I200" s="447" t="s">
        <v>126</v>
      </c>
      <c r="J200" s="447" t="s">
        <v>127</v>
      </c>
      <c r="K200" s="447" t="s">
        <v>116</v>
      </c>
      <c r="L200" s="448" t="s">
        <v>117</v>
      </c>
      <c r="M200" s="447" t="s">
        <v>118</v>
      </c>
      <c r="N200" s="342" t="s">
        <v>98</v>
      </c>
    </row>
    <row r="201" spans="1:14" ht="14.5" x14ac:dyDescent="0.35">
      <c r="A201" s="449" t="s">
        <v>99</v>
      </c>
      <c r="B201" s="449">
        <v>63776</v>
      </c>
      <c r="C201" s="449">
        <v>62209</v>
      </c>
      <c r="D201" s="449">
        <v>61961</v>
      </c>
      <c r="E201" s="449">
        <v>62927</v>
      </c>
      <c r="F201" s="450">
        <v>50792</v>
      </c>
      <c r="G201" s="449">
        <v>55786</v>
      </c>
      <c r="H201" s="449">
        <v>48081</v>
      </c>
      <c r="I201" s="449">
        <v>66142</v>
      </c>
      <c r="J201" s="449">
        <v>58127</v>
      </c>
      <c r="K201" s="449">
        <v>74979</v>
      </c>
      <c r="L201" s="450">
        <v>63950</v>
      </c>
      <c r="M201" s="449">
        <v>73973</v>
      </c>
      <c r="N201" s="438">
        <f>AVERAGE(B201:L201)</f>
        <v>60793.63636363636</v>
      </c>
    </row>
    <row r="202" spans="1:14" ht="14.5" x14ac:dyDescent="0.35">
      <c r="A202" s="449" t="s">
        <v>37</v>
      </c>
      <c r="B202" s="449">
        <v>59247</v>
      </c>
      <c r="C202" s="449">
        <v>49882</v>
      </c>
      <c r="D202" s="449">
        <v>42564</v>
      </c>
      <c r="E202" s="449">
        <v>44217</v>
      </c>
      <c r="F202" s="450">
        <v>42911</v>
      </c>
      <c r="G202" s="449">
        <v>40388</v>
      </c>
      <c r="H202" s="449">
        <v>32034</v>
      </c>
      <c r="I202" s="449">
        <v>38086</v>
      </c>
      <c r="J202" s="449">
        <v>42706</v>
      </c>
      <c r="K202" s="449">
        <v>48870</v>
      </c>
      <c r="L202" s="450">
        <v>44783</v>
      </c>
      <c r="M202" s="449">
        <v>58612</v>
      </c>
      <c r="N202" s="438">
        <f>AVERAGE(B202:L202)</f>
        <v>44153.454545454544</v>
      </c>
    </row>
    <row r="203" spans="1:14" ht="14.5" x14ac:dyDescent="0.35">
      <c r="A203" s="449" t="s">
        <v>100</v>
      </c>
      <c r="B203" s="449">
        <v>45807</v>
      </c>
      <c r="C203" s="449">
        <v>47219</v>
      </c>
      <c r="D203" s="449">
        <v>49140</v>
      </c>
      <c r="E203" s="449">
        <v>45889</v>
      </c>
      <c r="F203" s="450">
        <v>42002</v>
      </c>
      <c r="G203" s="449">
        <v>29164</v>
      </c>
      <c r="H203" s="449">
        <v>24425</v>
      </c>
      <c r="I203" s="449">
        <v>32384</v>
      </c>
      <c r="J203" s="449">
        <v>26635</v>
      </c>
      <c r="K203" s="449">
        <v>38487</v>
      </c>
      <c r="L203" s="450">
        <v>41827</v>
      </c>
      <c r="M203" s="449">
        <v>48432</v>
      </c>
      <c r="N203" s="438">
        <f>AVERAGE(B203:L203)</f>
        <v>38452.63636363636</v>
      </c>
    </row>
    <row r="204" spans="1:14" ht="14.5" x14ac:dyDescent="0.35">
      <c r="A204" s="449" t="s">
        <v>88</v>
      </c>
      <c r="B204" s="449">
        <v>102029</v>
      </c>
      <c r="C204" s="449">
        <v>73495</v>
      </c>
      <c r="D204" s="449">
        <v>77358</v>
      </c>
      <c r="E204" s="449">
        <v>75185</v>
      </c>
      <c r="F204" s="450">
        <v>62889</v>
      </c>
      <c r="G204" s="449">
        <v>78647</v>
      </c>
      <c r="H204" s="449">
        <v>71233</v>
      </c>
      <c r="I204" s="449">
        <v>80881</v>
      </c>
      <c r="J204" s="449">
        <v>89693</v>
      </c>
      <c r="K204" s="449">
        <v>115741.16666666666</v>
      </c>
      <c r="L204" s="450">
        <v>92550</v>
      </c>
      <c r="M204" s="449">
        <v>102728</v>
      </c>
      <c r="N204" s="438">
        <f>AVERAGE(B204:L204)</f>
        <v>83609.196969696961</v>
      </c>
    </row>
    <row r="205" spans="1:14" ht="14.5" x14ac:dyDescent="0.35">
      <c r="A205" s="451" t="s">
        <v>101</v>
      </c>
      <c r="B205" s="452">
        <v>270859</v>
      </c>
      <c r="C205" s="452">
        <v>232805</v>
      </c>
      <c r="D205" s="452">
        <v>231023</v>
      </c>
      <c r="E205" s="452">
        <v>228218</v>
      </c>
      <c r="F205" s="453">
        <v>198594</v>
      </c>
      <c r="G205" s="452">
        <v>203985</v>
      </c>
      <c r="H205" s="452">
        <v>175773</v>
      </c>
      <c r="I205" s="452">
        <v>217493</v>
      </c>
      <c r="J205" s="452">
        <v>217161</v>
      </c>
      <c r="K205" s="452">
        <f>SUM(K201:K204)</f>
        <v>278077.16666666663</v>
      </c>
      <c r="L205" s="452">
        <f>SUM(L201:L204)</f>
        <v>243110</v>
      </c>
      <c r="M205" s="452">
        <v>283745</v>
      </c>
      <c r="N205" s="478">
        <f>AVERAGE(B205:L205)</f>
        <v>227008.92424242423</v>
      </c>
    </row>
    <row r="206" spans="1:14" ht="14.5" x14ac:dyDescent="0.35">
      <c r="A206" s="545" t="s">
        <v>607</v>
      </c>
      <c r="H206" s="346"/>
      <c r="I206" s="346"/>
      <c r="J206" s="346"/>
      <c r="K206" s="346"/>
      <c r="L206" s="346"/>
    </row>
    <row r="207" spans="1:14" ht="14.5" x14ac:dyDescent="0.35"/>
    <row r="208" spans="1:14" ht="14.5" x14ac:dyDescent="0.35">
      <c r="A208" s="447" t="s">
        <v>102</v>
      </c>
      <c r="B208" s="447" t="s">
        <v>131</v>
      </c>
      <c r="C208" s="447" t="s">
        <v>132</v>
      </c>
      <c r="D208" s="447" t="s">
        <v>133</v>
      </c>
      <c r="E208" s="447" t="s">
        <v>134</v>
      </c>
      <c r="F208" s="448" t="s">
        <v>135</v>
      </c>
      <c r="G208" s="546" t="s">
        <v>136</v>
      </c>
      <c r="H208" s="447" t="s">
        <v>137</v>
      </c>
      <c r="I208" s="447" t="s">
        <v>138</v>
      </c>
      <c r="J208" s="447" t="s">
        <v>139</v>
      </c>
      <c r="K208" s="447" t="s">
        <v>128</v>
      </c>
      <c r="L208" s="448" t="s">
        <v>129</v>
      </c>
      <c r="M208" s="447" t="s">
        <v>130</v>
      </c>
      <c r="N208" s="342" t="s">
        <v>98</v>
      </c>
    </row>
    <row r="209" spans="1:14" ht="14.5" x14ac:dyDescent="0.35">
      <c r="A209" s="455" t="s">
        <v>99</v>
      </c>
      <c r="B209" s="456">
        <v>70743</v>
      </c>
      <c r="C209" s="457">
        <v>55027</v>
      </c>
      <c r="D209" s="457">
        <v>54932</v>
      </c>
      <c r="E209" s="457">
        <v>43776</v>
      </c>
      <c r="F209" s="458">
        <v>49810</v>
      </c>
      <c r="G209" s="525">
        <v>75616</v>
      </c>
      <c r="H209" s="456">
        <v>68029</v>
      </c>
      <c r="I209" s="456">
        <v>59606</v>
      </c>
      <c r="J209" s="456">
        <v>63396</v>
      </c>
      <c r="K209" s="456">
        <v>52819.21</v>
      </c>
      <c r="L209" s="459">
        <v>53324</v>
      </c>
      <c r="M209" s="456">
        <v>61519</v>
      </c>
      <c r="N209" s="460">
        <f>AVERAGE(B209:L209)</f>
        <v>58825.291818181817</v>
      </c>
    </row>
    <row r="210" spans="1:14" ht="14.5" x14ac:dyDescent="0.35">
      <c r="A210" s="455" t="s">
        <v>37</v>
      </c>
      <c r="B210" s="456">
        <v>40181</v>
      </c>
      <c r="C210" s="457">
        <v>41079</v>
      </c>
      <c r="D210" s="457">
        <v>39875</v>
      </c>
      <c r="E210" s="457">
        <v>35835</v>
      </c>
      <c r="F210" s="458">
        <v>28946</v>
      </c>
      <c r="G210" s="525">
        <v>43422</v>
      </c>
      <c r="H210" s="456">
        <v>35147</v>
      </c>
      <c r="I210" s="456">
        <v>37370</v>
      </c>
      <c r="J210" s="456">
        <v>39971</v>
      </c>
      <c r="K210" s="456">
        <v>33459.82</v>
      </c>
      <c r="L210" s="459">
        <v>39860</v>
      </c>
      <c r="M210" s="456">
        <v>41717</v>
      </c>
      <c r="N210" s="460">
        <f>AVERAGE(B210:L210)</f>
        <v>37740.529090909091</v>
      </c>
    </row>
    <row r="211" spans="1:14" ht="14.5" x14ac:dyDescent="0.35">
      <c r="A211" s="455" t="s">
        <v>100</v>
      </c>
      <c r="B211" s="456">
        <v>17451</v>
      </c>
      <c r="C211" s="457">
        <v>20924</v>
      </c>
      <c r="D211" s="457">
        <v>23756</v>
      </c>
      <c r="E211" s="457">
        <v>18015</v>
      </c>
      <c r="F211" s="458">
        <v>15778</v>
      </c>
      <c r="G211" s="546" t="s">
        <v>140</v>
      </c>
      <c r="H211" s="447"/>
      <c r="I211" s="447"/>
      <c r="J211" s="456">
        <v>3428</v>
      </c>
      <c r="K211" s="456">
        <v>13471.49</v>
      </c>
      <c r="L211" s="459">
        <v>12544</v>
      </c>
      <c r="M211" s="456">
        <v>13788</v>
      </c>
      <c r="N211" s="460">
        <f>AVERAGE(B211:L211)</f>
        <v>15670.936250000001</v>
      </c>
    </row>
    <row r="212" spans="1:14" ht="14.5" x14ac:dyDescent="0.35">
      <c r="A212" s="455" t="s">
        <v>88</v>
      </c>
      <c r="B212" s="456">
        <v>72570</v>
      </c>
      <c r="C212" s="457">
        <v>89947</v>
      </c>
      <c r="D212" s="457">
        <v>99078</v>
      </c>
      <c r="E212" s="457">
        <v>75226</v>
      </c>
      <c r="F212" s="458">
        <v>76874</v>
      </c>
      <c r="G212" s="525">
        <v>51000</v>
      </c>
      <c r="H212" s="456">
        <v>41240</v>
      </c>
      <c r="I212" s="456">
        <v>47352</v>
      </c>
      <c r="J212" s="456">
        <v>49038</v>
      </c>
      <c r="K212" s="456">
        <v>21042</v>
      </c>
      <c r="L212" s="459">
        <v>35748</v>
      </c>
      <c r="M212" s="456">
        <v>44347</v>
      </c>
      <c r="N212" s="460">
        <f>AVERAGE(B212:L212)</f>
        <v>59919.545454545456</v>
      </c>
    </row>
    <row r="213" spans="1:14" ht="14.5" x14ac:dyDescent="0.35">
      <c r="A213" s="451" t="s">
        <v>101</v>
      </c>
      <c r="B213" s="461">
        <f>SUM(B209:B212)</f>
        <v>200945</v>
      </c>
      <c r="C213" s="452">
        <v>206977</v>
      </c>
      <c r="D213" s="452">
        <v>217641</v>
      </c>
      <c r="E213" s="452">
        <v>172852</v>
      </c>
      <c r="F213" s="453">
        <v>171408</v>
      </c>
      <c r="G213" s="553">
        <v>170038</v>
      </c>
      <c r="H213" s="461">
        <f t="shared" ref="H213:M213" si="1">SUM(H209:H212)</f>
        <v>144416</v>
      </c>
      <c r="I213" s="461">
        <f t="shared" si="1"/>
        <v>144328</v>
      </c>
      <c r="J213" s="461">
        <f t="shared" si="1"/>
        <v>155833</v>
      </c>
      <c r="K213" s="461">
        <f t="shared" si="1"/>
        <v>120792.52</v>
      </c>
      <c r="L213" s="461">
        <f t="shared" si="1"/>
        <v>141476</v>
      </c>
      <c r="M213" s="461">
        <f t="shared" si="1"/>
        <v>161371</v>
      </c>
      <c r="N213" s="461">
        <f>AVERAGE(B213:L213)</f>
        <v>167882.41090909092</v>
      </c>
    </row>
    <row r="214" spans="1:14" ht="14.5" x14ac:dyDescent="0.35"/>
    <row r="215" spans="1:14" ht="14.5" x14ac:dyDescent="0.35">
      <c r="C215" s="489" t="s">
        <v>141</v>
      </c>
      <c r="D215" s="489" t="s">
        <v>142</v>
      </c>
      <c r="I215" s="346"/>
      <c r="J215" s="346"/>
      <c r="K215" s="346"/>
      <c r="L215" s="346"/>
      <c r="M215" s="346"/>
    </row>
    <row r="216" spans="1:14" ht="14.5" x14ac:dyDescent="0.35">
      <c r="A216" s="488" t="s">
        <v>10</v>
      </c>
      <c r="B216" s="268">
        <v>45505</v>
      </c>
      <c r="C216" s="490">
        <f t="shared" ref="C216:C246" si="2">C4+C43+C79+C117+C156</f>
        <v>13214</v>
      </c>
      <c r="D216" s="490">
        <f>C216</f>
        <v>13214</v>
      </c>
    </row>
    <row r="217" spans="1:14" ht="14.5" x14ac:dyDescent="0.35">
      <c r="A217" s="488" t="s">
        <v>13</v>
      </c>
      <c r="B217" s="268">
        <v>45506</v>
      </c>
      <c r="C217" s="491">
        <f t="shared" si="2"/>
        <v>9306</v>
      </c>
      <c r="D217" s="490">
        <f>C216+C217</f>
        <v>22520</v>
      </c>
    </row>
    <row r="218" spans="1:14" ht="14.5" x14ac:dyDescent="0.35">
      <c r="A218" s="488" t="s">
        <v>16</v>
      </c>
      <c r="B218" s="268">
        <v>45507</v>
      </c>
      <c r="C218" s="491">
        <f t="shared" si="2"/>
        <v>9662</v>
      </c>
      <c r="D218" s="490">
        <f t="shared" ref="D218:D246" si="3">D217+C218</f>
        <v>32182</v>
      </c>
    </row>
    <row r="219" spans="1:14" ht="14.5" x14ac:dyDescent="0.35">
      <c r="A219" s="488" t="s">
        <v>18</v>
      </c>
      <c r="B219" s="268">
        <v>45508</v>
      </c>
      <c r="C219" s="491">
        <f t="shared" si="2"/>
        <v>0</v>
      </c>
      <c r="D219" s="490">
        <f t="shared" si="3"/>
        <v>32182</v>
      </c>
    </row>
    <row r="220" spans="1:14" ht="14.5" x14ac:dyDescent="0.35">
      <c r="A220" s="488" t="s">
        <v>20</v>
      </c>
      <c r="B220" s="268">
        <v>45509</v>
      </c>
      <c r="C220" s="491">
        <f t="shared" si="2"/>
        <v>15794</v>
      </c>
      <c r="D220" s="490">
        <f t="shared" si="3"/>
        <v>47976</v>
      </c>
    </row>
    <row r="221" spans="1:14" ht="14.5" x14ac:dyDescent="0.35">
      <c r="A221" s="488" t="s">
        <v>22</v>
      </c>
      <c r="B221" s="268">
        <v>45510</v>
      </c>
      <c r="C221" s="491">
        <f t="shared" si="2"/>
        <v>10859</v>
      </c>
      <c r="D221" s="490">
        <f t="shared" si="3"/>
        <v>58835</v>
      </c>
    </row>
    <row r="222" spans="1:14" ht="14.5" x14ac:dyDescent="0.35">
      <c r="A222" s="488" t="s">
        <v>24</v>
      </c>
      <c r="B222" s="268">
        <v>45511</v>
      </c>
      <c r="C222" s="491">
        <f t="shared" si="2"/>
        <v>13592</v>
      </c>
      <c r="D222" s="490">
        <f t="shared" si="3"/>
        <v>72427</v>
      </c>
      <c r="I222" s="454"/>
      <c r="J222" s="454"/>
      <c r="K222" s="454"/>
      <c r="L222" s="555"/>
      <c r="M222" s="454"/>
    </row>
    <row r="223" spans="1:14" ht="14.5" x14ac:dyDescent="0.35">
      <c r="A223" s="488" t="s">
        <v>10</v>
      </c>
      <c r="B223" s="268">
        <v>45512</v>
      </c>
      <c r="C223" s="491">
        <f t="shared" si="2"/>
        <v>6480</v>
      </c>
      <c r="D223" s="490">
        <f t="shared" si="3"/>
        <v>78907</v>
      </c>
    </row>
    <row r="224" spans="1:14" ht="14.5" x14ac:dyDescent="0.35">
      <c r="A224" s="488" t="s">
        <v>13</v>
      </c>
      <c r="B224" s="268">
        <v>45513</v>
      </c>
      <c r="C224" s="491">
        <f t="shared" si="2"/>
        <v>11727</v>
      </c>
      <c r="D224" s="490">
        <f t="shared" si="3"/>
        <v>90634</v>
      </c>
    </row>
    <row r="225" spans="1:4" ht="14.5" x14ac:dyDescent="0.35">
      <c r="A225" s="488" t="s">
        <v>16</v>
      </c>
      <c r="B225" s="268">
        <v>45514</v>
      </c>
      <c r="C225" s="491">
        <f t="shared" si="2"/>
        <v>8307</v>
      </c>
      <c r="D225" s="491">
        <f t="shared" si="3"/>
        <v>98941</v>
      </c>
    </row>
    <row r="226" spans="1:4" ht="14.5" x14ac:dyDescent="0.35">
      <c r="A226" s="488" t="s">
        <v>18</v>
      </c>
      <c r="B226" s="268">
        <v>45515</v>
      </c>
      <c r="C226" s="491">
        <f t="shared" si="2"/>
        <v>0</v>
      </c>
      <c r="D226" s="491">
        <f t="shared" si="3"/>
        <v>98941</v>
      </c>
    </row>
    <row r="227" spans="1:4" ht="14.5" x14ac:dyDescent="0.35">
      <c r="A227" s="488" t="s">
        <v>20</v>
      </c>
      <c r="B227" s="268">
        <v>45516</v>
      </c>
      <c r="C227" s="491">
        <f t="shared" si="2"/>
        <v>9985</v>
      </c>
      <c r="D227" s="491">
        <f t="shared" si="3"/>
        <v>108926</v>
      </c>
    </row>
    <row r="228" spans="1:4" ht="14.5" x14ac:dyDescent="0.35">
      <c r="A228" s="488" t="s">
        <v>22</v>
      </c>
      <c r="B228" s="268">
        <v>45517</v>
      </c>
      <c r="C228" s="491">
        <f t="shared" si="2"/>
        <v>12969</v>
      </c>
      <c r="D228" s="491">
        <f t="shared" si="3"/>
        <v>121895</v>
      </c>
    </row>
    <row r="229" spans="1:4" ht="14.5" x14ac:dyDescent="0.35">
      <c r="A229" s="488" t="s">
        <v>24</v>
      </c>
      <c r="B229" s="268">
        <v>45518</v>
      </c>
      <c r="C229" s="491">
        <f t="shared" si="2"/>
        <v>13400</v>
      </c>
      <c r="D229" s="491">
        <f t="shared" si="3"/>
        <v>135295</v>
      </c>
    </row>
    <row r="230" spans="1:4" ht="14.5" x14ac:dyDescent="0.35">
      <c r="A230" s="488" t="s">
        <v>10</v>
      </c>
      <c r="B230" s="268">
        <v>45519</v>
      </c>
      <c r="C230" s="491">
        <f t="shared" si="2"/>
        <v>11638</v>
      </c>
      <c r="D230" s="491">
        <f t="shared" si="3"/>
        <v>146933</v>
      </c>
    </row>
    <row r="231" spans="1:4" ht="14.5" x14ac:dyDescent="0.35">
      <c r="A231" s="488" t="s">
        <v>13</v>
      </c>
      <c r="B231" s="268">
        <v>45520</v>
      </c>
      <c r="C231" s="491">
        <f t="shared" si="2"/>
        <v>13769</v>
      </c>
      <c r="D231" s="491">
        <f t="shared" si="3"/>
        <v>160702</v>
      </c>
    </row>
    <row r="232" spans="1:4" ht="14.5" x14ac:dyDescent="0.35">
      <c r="A232" s="488" t="s">
        <v>16</v>
      </c>
      <c r="B232" s="268">
        <v>45521</v>
      </c>
      <c r="C232" s="491">
        <f t="shared" si="2"/>
        <v>10736</v>
      </c>
      <c r="D232" s="491">
        <f t="shared" si="3"/>
        <v>171438</v>
      </c>
    </row>
    <row r="233" spans="1:4" ht="14.5" x14ac:dyDescent="0.35">
      <c r="A233" s="488" t="s">
        <v>18</v>
      </c>
      <c r="B233" s="268">
        <v>45522</v>
      </c>
      <c r="C233" s="491">
        <f t="shared" si="2"/>
        <v>0</v>
      </c>
      <c r="D233" s="491">
        <f t="shared" si="3"/>
        <v>171438</v>
      </c>
    </row>
    <row r="234" spans="1:4" ht="14.5" x14ac:dyDescent="0.35">
      <c r="A234" s="488" t="s">
        <v>20</v>
      </c>
      <c r="B234" s="268">
        <v>45523</v>
      </c>
      <c r="C234" s="491">
        <f t="shared" si="2"/>
        <v>5798</v>
      </c>
      <c r="D234" s="491">
        <f t="shared" si="3"/>
        <v>177236</v>
      </c>
    </row>
    <row r="235" spans="1:4" ht="15" customHeight="1" x14ac:dyDescent="0.35">
      <c r="A235" s="488" t="s">
        <v>22</v>
      </c>
      <c r="B235" s="268">
        <v>45524</v>
      </c>
      <c r="C235" s="491">
        <f t="shared" si="2"/>
        <v>14764</v>
      </c>
      <c r="D235" s="491">
        <f t="shared" si="3"/>
        <v>192000</v>
      </c>
    </row>
    <row r="236" spans="1:4" ht="15" customHeight="1" x14ac:dyDescent="0.35">
      <c r="A236" s="488" t="s">
        <v>24</v>
      </c>
      <c r="B236" s="268">
        <v>45525</v>
      </c>
      <c r="C236" s="491">
        <f t="shared" si="2"/>
        <v>8767</v>
      </c>
      <c r="D236" s="491">
        <f t="shared" si="3"/>
        <v>200767</v>
      </c>
    </row>
    <row r="237" spans="1:4" ht="15" customHeight="1" x14ac:dyDescent="0.35">
      <c r="A237" s="488" t="s">
        <v>10</v>
      </c>
      <c r="B237" s="268">
        <v>45526</v>
      </c>
      <c r="C237" s="491">
        <f t="shared" si="2"/>
        <v>15702</v>
      </c>
      <c r="D237" s="491">
        <f t="shared" si="3"/>
        <v>216469</v>
      </c>
    </row>
    <row r="238" spans="1:4" ht="15" customHeight="1" x14ac:dyDescent="0.35">
      <c r="A238" s="488" t="s">
        <v>13</v>
      </c>
      <c r="B238" s="268">
        <v>45527</v>
      </c>
      <c r="C238" s="491">
        <f t="shared" si="2"/>
        <v>11122</v>
      </c>
      <c r="D238" s="491">
        <f t="shared" si="3"/>
        <v>227591</v>
      </c>
    </row>
    <row r="239" spans="1:4" ht="15" customHeight="1" x14ac:dyDescent="0.35">
      <c r="A239" s="488" t="s">
        <v>16</v>
      </c>
      <c r="B239" s="268">
        <v>45528</v>
      </c>
      <c r="C239" s="491">
        <f t="shared" si="2"/>
        <v>9259</v>
      </c>
      <c r="D239" s="491">
        <f t="shared" si="3"/>
        <v>236850</v>
      </c>
    </row>
    <row r="240" spans="1:4" ht="15" customHeight="1" x14ac:dyDescent="0.35">
      <c r="A240" s="488" t="s">
        <v>18</v>
      </c>
      <c r="B240" s="268">
        <v>45529</v>
      </c>
      <c r="C240" s="491">
        <f t="shared" si="2"/>
        <v>0</v>
      </c>
      <c r="D240" s="491">
        <f t="shared" si="3"/>
        <v>236850</v>
      </c>
    </row>
    <row r="241" spans="1:4" ht="15" customHeight="1" x14ac:dyDescent="0.35">
      <c r="A241" s="488" t="s">
        <v>20</v>
      </c>
      <c r="B241" s="268">
        <v>45530</v>
      </c>
      <c r="C241" s="491">
        <f t="shared" si="2"/>
        <v>14058</v>
      </c>
      <c r="D241" s="491">
        <f t="shared" si="3"/>
        <v>250908</v>
      </c>
    </row>
    <row r="242" spans="1:4" ht="15" customHeight="1" x14ac:dyDescent="0.35">
      <c r="A242" s="488" t="s">
        <v>22</v>
      </c>
      <c r="B242" s="268">
        <v>45531</v>
      </c>
      <c r="C242" s="491">
        <f t="shared" si="2"/>
        <v>10537</v>
      </c>
      <c r="D242" s="491">
        <f t="shared" si="3"/>
        <v>261445</v>
      </c>
    </row>
    <row r="243" spans="1:4" ht="15" customHeight="1" x14ac:dyDescent="0.35">
      <c r="A243" s="488" t="s">
        <v>24</v>
      </c>
      <c r="B243" s="268">
        <v>45532</v>
      </c>
      <c r="C243" s="491">
        <f t="shared" si="2"/>
        <v>8808</v>
      </c>
      <c r="D243" s="491">
        <f t="shared" si="3"/>
        <v>270253</v>
      </c>
    </row>
    <row r="244" spans="1:4" ht="15" customHeight="1" x14ac:dyDescent="0.35">
      <c r="A244" s="488" t="s">
        <v>10</v>
      </c>
      <c r="B244" s="268">
        <v>45533</v>
      </c>
      <c r="C244" s="491">
        <f t="shared" si="2"/>
        <v>12132</v>
      </c>
      <c r="D244" s="491">
        <f t="shared" si="3"/>
        <v>282385</v>
      </c>
    </row>
    <row r="245" spans="1:4" ht="15" customHeight="1" x14ac:dyDescent="0.35">
      <c r="A245" s="488" t="s">
        <v>13</v>
      </c>
      <c r="B245" s="268">
        <v>45534</v>
      </c>
      <c r="C245" s="491">
        <f t="shared" si="2"/>
        <v>10955</v>
      </c>
      <c r="D245" s="491">
        <f t="shared" si="3"/>
        <v>293340</v>
      </c>
    </row>
    <row r="246" spans="1:4" ht="15" customHeight="1" x14ac:dyDescent="0.35">
      <c r="A246" s="488" t="s">
        <v>16</v>
      </c>
      <c r="B246" s="268">
        <v>45535</v>
      </c>
      <c r="C246" s="491">
        <f t="shared" si="2"/>
        <v>11684</v>
      </c>
      <c r="D246" s="491">
        <f t="shared" si="3"/>
        <v>305024</v>
      </c>
    </row>
  </sheetData>
  <mergeCells count="16">
    <mergeCell ref="A152:B155"/>
    <mergeCell ref="C152:E153"/>
    <mergeCell ref="C154:C155"/>
    <mergeCell ref="B77:B78"/>
    <mergeCell ref="C77:C78"/>
    <mergeCell ref="K79:L79"/>
    <mergeCell ref="K119:L119"/>
    <mergeCell ref="B1:F1"/>
    <mergeCell ref="B2:B3"/>
    <mergeCell ref="C2:C3"/>
    <mergeCell ref="K4:L4"/>
    <mergeCell ref="B41:B42"/>
    <mergeCell ref="C41:C42"/>
    <mergeCell ref="K43:L43"/>
    <mergeCell ref="B115:B116"/>
    <mergeCell ref="C115:C116"/>
  </mergeCells>
  <phoneticPr fontId="19" type="noConversion"/>
  <conditionalFormatting sqref="A216:B246">
    <cfRule type="expression" dxfId="38" priority="1">
      <formula>ISODD(ROW())</formula>
    </cfRule>
  </conditionalFormatting>
  <conditionalFormatting sqref="A79:F109 G105 G106:H106 H107 G108:H109">
    <cfRule type="expression" dxfId="37" priority="10">
      <formula>ISEVEN(ROW())</formula>
    </cfRule>
  </conditionalFormatting>
  <conditionalFormatting sqref="A4:H4 A5:B34">
    <cfRule type="expression" dxfId="36" priority="7">
      <formula>ISODD(ROW())</formula>
    </cfRule>
  </conditionalFormatting>
  <conditionalFormatting sqref="A43:H73">
    <cfRule type="expression" dxfId="35" priority="6">
      <formula>ISEVEN(ROW())</formula>
    </cfRule>
  </conditionalFormatting>
  <conditionalFormatting sqref="C5:F5">
    <cfRule type="expression" dxfId="34" priority="9">
      <formula>ISEVEN(ROW())</formula>
    </cfRule>
  </conditionalFormatting>
  <conditionalFormatting sqref="C6:H34 A156:F186">
    <cfRule type="expression" dxfId="33" priority="8">
      <formula>ISODD(ROW())</formula>
    </cfRule>
  </conditionalFormatting>
  <conditionalFormatting sqref="G5:H5">
    <cfRule type="expression" dxfId="32" priority="11">
      <formula>ISODD(ROW())</formula>
    </cfRule>
  </conditionalFormatting>
  <conditionalFormatting sqref="G79:H104">
    <cfRule type="expression" dxfId="31" priority="5">
      <formula>ISEVEN(ROW())</formula>
    </cfRule>
  </conditionalFormatting>
  <conditionalFormatting sqref="G117:H142 A117:F147 G143 G144:H144 H145 G146:H147">
    <cfRule type="expression" dxfId="30" priority="2">
      <formula>ISEVEN(ROW())</formula>
    </cfRule>
  </conditionalFormatting>
  <conditionalFormatting sqref="M2:M16 M18:M21 M27:M32 M34:M35 K37:K39 N41:N43 N49:N60 M55:M59 M65:M68 N65:N74 N77:N110 M111:M170 H152:H188">
    <cfRule type="cellIs" dxfId="29" priority="12" operator="greaterThan">
      <formula>0</formula>
    </cfRule>
    <cfRule type="cellIs" dxfId="28" priority="13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7130-F0C9-4588-BB02-2519A62B9D7E}">
  <sheetPr>
    <tabColor theme="8" tint="0.59999389629810485"/>
  </sheetPr>
  <dimension ref="A1:N195"/>
  <sheetViews>
    <sheetView topLeftCell="A110" workbookViewId="0">
      <selection activeCell="A129" sqref="A129:F132"/>
    </sheetView>
  </sheetViews>
  <sheetFormatPr defaultColWidth="9.1796875" defaultRowHeight="15" customHeight="1" x14ac:dyDescent="0.35"/>
  <cols>
    <col min="1" max="1" width="18.453125" style="347" customWidth="1"/>
    <col min="2" max="2" width="21" style="347" customWidth="1"/>
    <col min="3" max="3" width="16.453125" style="347" customWidth="1"/>
    <col min="4" max="4" width="16.1796875" style="347" customWidth="1"/>
    <col min="5" max="5" width="22.453125" style="347" customWidth="1"/>
    <col min="6" max="6" width="19.81640625" style="347" customWidth="1"/>
    <col min="7" max="7" width="16.453125" style="347" customWidth="1"/>
    <col min="8" max="8" width="13" style="347" customWidth="1"/>
    <col min="9" max="9" width="12.81640625" style="347" bestFit="1" customWidth="1"/>
    <col min="10" max="10" width="15.81640625" style="347" bestFit="1" customWidth="1"/>
    <col min="11" max="11" width="14.453125" style="347" bestFit="1" customWidth="1"/>
    <col min="12" max="12" width="12.453125" style="347" customWidth="1"/>
    <col min="13" max="13" width="17.453125" style="347" customWidth="1"/>
    <col min="14" max="14" width="16.453125" style="347" customWidth="1"/>
    <col min="15" max="15" width="14.81640625" style="347" customWidth="1"/>
    <col min="16" max="16384" width="9.1796875" style="347"/>
  </cols>
  <sheetData>
    <row r="1" spans="1:14" ht="17.5" customHeight="1" x14ac:dyDescent="0.45">
      <c r="A1" s="346"/>
      <c r="B1" s="930" t="s">
        <v>0</v>
      </c>
      <c r="C1" s="930"/>
      <c r="D1" s="930"/>
      <c r="E1" s="930"/>
      <c r="F1" s="930"/>
      <c r="G1" s="346"/>
      <c r="H1" s="346"/>
      <c r="I1" s="346"/>
      <c r="J1" s="346"/>
      <c r="K1" s="346"/>
      <c r="L1" s="346"/>
      <c r="M1" s="346"/>
    </row>
    <row r="2" spans="1:14" ht="15.65" customHeight="1" x14ac:dyDescent="0.4">
      <c r="A2" s="348"/>
      <c r="B2" s="926" t="s">
        <v>1</v>
      </c>
      <c r="C2" s="935" t="s">
        <v>0</v>
      </c>
      <c r="D2" s="298" t="s">
        <v>2</v>
      </c>
      <c r="E2" s="184" t="s">
        <v>3</v>
      </c>
      <c r="F2" s="496" t="s">
        <v>143</v>
      </c>
      <c r="G2" s="186" t="s">
        <v>6</v>
      </c>
      <c r="H2" s="187" t="s">
        <v>7</v>
      </c>
      <c r="I2" s="349"/>
      <c r="J2" s="349"/>
      <c r="K2" s="349"/>
      <c r="L2" s="349"/>
      <c r="M2" s="349"/>
      <c r="N2" s="349"/>
    </row>
    <row r="3" spans="1:14" ht="30.75" customHeight="1" x14ac:dyDescent="0.35">
      <c r="A3" s="350"/>
      <c r="B3" s="934"/>
      <c r="C3" s="936"/>
      <c r="D3" s="299" t="s">
        <v>0</v>
      </c>
      <c r="E3" s="498" t="s">
        <v>0</v>
      </c>
      <c r="F3" s="499" t="s">
        <v>0</v>
      </c>
      <c r="G3" s="500" t="s">
        <v>8</v>
      </c>
      <c r="H3" s="501" t="s">
        <v>9</v>
      </c>
      <c r="I3" s="346"/>
      <c r="J3" s="346"/>
      <c r="K3" s="346"/>
      <c r="L3" s="346"/>
      <c r="M3" s="346"/>
      <c r="N3" s="346"/>
    </row>
    <row r="4" spans="1:14" ht="14.5" x14ac:dyDescent="0.35">
      <c r="A4" s="351" t="s">
        <v>20</v>
      </c>
      <c r="B4" s="352">
        <v>45474</v>
      </c>
      <c r="C4" s="353">
        <v>3855</v>
      </c>
      <c r="D4" s="354">
        <v>54</v>
      </c>
      <c r="E4" s="355">
        <v>0</v>
      </c>
      <c r="F4" s="356">
        <v>1</v>
      </c>
      <c r="G4" s="380" t="s">
        <v>942</v>
      </c>
      <c r="H4" s="462">
        <v>28</v>
      </c>
      <c r="I4" s="346"/>
      <c r="J4" s="346"/>
      <c r="K4" s="923" t="s">
        <v>12</v>
      </c>
      <c r="L4" s="923"/>
      <c r="M4" s="346"/>
      <c r="N4" s="346"/>
    </row>
    <row r="5" spans="1:14" ht="14.5" x14ac:dyDescent="0.35">
      <c r="A5" s="351" t="s">
        <v>22</v>
      </c>
      <c r="B5" s="352">
        <v>45475</v>
      </c>
      <c r="C5" s="359">
        <v>3248</v>
      </c>
      <c r="D5" s="360">
        <v>80</v>
      </c>
      <c r="E5" s="361">
        <v>0</v>
      </c>
      <c r="F5" s="361">
        <v>3</v>
      </c>
      <c r="G5" s="362" t="s">
        <v>943</v>
      </c>
      <c r="H5" s="363">
        <v>17</v>
      </c>
      <c r="I5" s="346"/>
      <c r="J5" s="346"/>
      <c r="K5" s="364" t="s">
        <v>15</v>
      </c>
      <c r="L5" s="365">
        <v>72000</v>
      </c>
      <c r="M5" s="346"/>
      <c r="N5" s="346"/>
    </row>
    <row r="6" spans="1:14" ht="14.5" x14ac:dyDescent="0.35">
      <c r="A6" s="351" t="s">
        <v>24</v>
      </c>
      <c r="B6" s="352">
        <v>45476</v>
      </c>
      <c r="C6" s="366">
        <v>1888</v>
      </c>
      <c r="D6" s="367">
        <v>54</v>
      </c>
      <c r="E6" s="368">
        <v>0</v>
      </c>
      <c r="F6" s="368">
        <v>4</v>
      </c>
      <c r="G6" s="368" t="s">
        <v>944</v>
      </c>
      <c r="H6" s="369">
        <v>21</v>
      </c>
      <c r="I6" s="346"/>
      <c r="J6" s="346"/>
      <c r="K6" s="370" t="s">
        <v>17</v>
      </c>
      <c r="L6" s="371">
        <v>3000</v>
      </c>
      <c r="M6" s="346"/>
      <c r="N6" s="346"/>
    </row>
    <row r="7" spans="1:14" ht="14.5" x14ac:dyDescent="0.35">
      <c r="A7" s="351" t="s">
        <v>10</v>
      </c>
      <c r="B7" s="352">
        <v>45477</v>
      </c>
      <c r="C7" s="372"/>
      <c r="D7" s="373"/>
      <c r="E7" s="374"/>
      <c r="F7" s="374"/>
      <c r="G7" s="374"/>
      <c r="H7" s="369"/>
      <c r="I7" s="346"/>
      <c r="J7" s="346"/>
      <c r="K7" s="375" t="s">
        <v>3</v>
      </c>
      <c r="L7" s="376">
        <v>20</v>
      </c>
      <c r="M7" s="346"/>
      <c r="N7" s="346"/>
    </row>
    <row r="8" spans="1:14" ht="14.5" x14ac:dyDescent="0.35">
      <c r="A8" s="351" t="s">
        <v>13</v>
      </c>
      <c r="B8" s="352">
        <v>45478</v>
      </c>
      <c r="C8" s="366">
        <v>2306</v>
      </c>
      <c r="D8" s="367">
        <v>54</v>
      </c>
      <c r="E8" s="368">
        <v>0</v>
      </c>
      <c r="F8" s="368">
        <v>1</v>
      </c>
      <c r="G8" s="368" t="s">
        <v>945</v>
      </c>
      <c r="H8" s="369">
        <v>23</v>
      </c>
      <c r="I8" s="346"/>
      <c r="J8" s="346"/>
      <c r="K8" s="346"/>
      <c r="L8" s="346"/>
      <c r="M8" s="346"/>
      <c r="N8" s="346"/>
    </row>
    <row r="9" spans="1:14" ht="14.5" x14ac:dyDescent="0.35">
      <c r="A9" s="351" t="s">
        <v>16</v>
      </c>
      <c r="B9" s="352">
        <v>45479</v>
      </c>
      <c r="C9" s="377">
        <v>2232</v>
      </c>
      <c r="D9" s="378">
        <v>108</v>
      </c>
      <c r="E9" s="362">
        <v>0</v>
      </c>
      <c r="F9" s="362">
        <v>4</v>
      </c>
      <c r="G9" s="368" t="s">
        <v>946</v>
      </c>
      <c r="H9" s="363">
        <v>25</v>
      </c>
      <c r="I9" s="346"/>
      <c r="J9" s="346"/>
      <c r="K9" s="346"/>
      <c r="L9" s="346"/>
      <c r="M9" s="346"/>
      <c r="N9" s="346"/>
    </row>
    <row r="10" spans="1:14" ht="14.5" x14ac:dyDescent="0.35">
      <c r="A10" s="351" t="s">
        <v>18</v>
      </c>
      <c r="B10" s="352">
        <v>45480</v>
      </c>
      <c r="C10" s="379"/>
      <c r="D10" s="354"/>
      <c r="E10" s="380"/>
      <c r="F10" s="380"/>
      <c r="G10" s="380"/>
      <c r="H10" s="381"/>
      <c r="I10" s="346"/>
      <c r="J10" s="346"/>
      <c r="K10" s="346"/>
      <c r="L10" s="346"/>
      <c r="M10" s="346"/>
      <c r="N10" s="346"/>
    </row>
    <row r="11" spans="1:14" ht="14.5" x14ac:dyDescent="0.35">
      <c r="A11" s="351" t="s">
        <v>20</v>
      </c>
      <c r="B11" s="352">
        <v>45481</v>
      </c>
      <c r="C11" s="217">
        <v>4483</v>
      </c>
      <c r="D11" s="218">
        <v>108</v>
      </c>
      <c r="E11" s="219">
        <v>0</v>
      </c>
      <c r="F11" s="219">
        <v>5</v>
      </c>
      <c r="G11" s="219" t="s">
        <v>947</v>
      </c>
      <c r="H11" s="220">
        <v>28</v>
      </c>
      <c r="I11" s="346"/>
      <c r="J11" s="346"/>
      <c r="K11" s="346"/>
      <c r="L11" s="346"/>
      <c r="M11" s="346"/>
      <c r="N11" s="346"/>
    </row>
    <row r="12" spans="1:14" ht="14.5" x14ac:dyDescent="0.35">
      <c r="A12" s="351" t="s">
        <v>22</v>
      </c>
      <c r="B12" s="352">
        <v>45482</v>
      </c>
      <c r="C12" s="221">
        <v>1507</v>
      </c>
      <c r="D12" s="222">
        <v>174</v>
      </c>
      <c r="E12" s="223">
        <v>0</v>
      </c>
      <c r="F12" s="223">
        <v>2</v>
      </c>
      <c r="G12" s="223" t="s">
        <v>948</v>
      </c>
      <c r="H12" s="224">
        <v>29</v>
      </c>
      <c r="I12" s="346"/>
      <c r="J12" s="346"/>
      <c r="K12" s="346"/>
      <c r="L12" s="346"/>
      <c r="M12" s="346"/>
      <c r="N12" s="346"/>
    </row>
    <row r="13" spans="1:14" ht="14.5" x14ac:dyDescent="0.35">
      <c r="A13" s="351" t="s">
        <v>24</v>
      </c>
      <c r="B13" s="352">
        <v>45483</v>
      </c>
      <c r="C13" s="225">
        <v>3985</v>
      </c>
      <c r="D13" s="226">
        <v>35</v>
      </c>
      <c r="E13" s="227">
        <v>0</v>
      </c>
      <c r="F13" s="227">
        <v>6</v>
      </c>
      <c r="G13" s="227" t="s">
        <v>949</v>
      </c>
      <c r="H13" s="228">
        <v>18</v>
      </c>
      <c r="I13" s="346"/>
      <c r="J13" s="346"/>
      <c r="K13" s="346"/>
      <c r="L13" s="346"/>
      <c r="M13" s="346"/>
      <c r="N13" s="346"/>
    </row>
    <row r="14" spans="1:14" ht="14.5" x14ac:dyDescent="0.35">
      <c r="A14" s="351" t="s">
        <v>10</v>
      </c>
      <c r="B14" s="352">
        <v>45484</v>
      </c>
      <c r="C14" s="229">
        <v>2332</v>
      </c>
      <c r="D14" s="230">
        <v>90</v>
      </c>
      <c r="E14" s="231">
        <v>1</v>
      </c>
      <c r="F14" s="231">
        <v>3</v>
      </c>
      <c r="G14" s="231" t="s">
        <v>950</v>
      </c>
      <c r="H14" s="232">
        <v>23</v>
      </c>
      <c r="I14" s="346"/>
      <c r="J14" s="346"/>
      <c r="K14" s="346"/>
      <c r="L14" s="346"/>
      <c r="M14" s="346"/>
      <c r="N14" s="346"/>
    </row>
    <row r="15" spans="1:14" ht="14.5" x14ac:dyDescent="0.35">
      <c r="A15" s="351" t="s">
        <v>13</v>
      </c>
      <c r="B15" s="352">
        <v>45485</v>
      </c>
      <c r="C15" s="225">
        <v>2518</v>
      </c>
      <c r="D15" s="226">
        <v>95</v>
      </c>
      <c r="E15" s="227">
        <v>0</v>
      </c>
      <c r="F15" s="227">
        <v>1</v>
      </c>
      <c r="G15" s="227" t="s">
        <v>951</v>
      </c>
      <c r="H15" s="228">
        <v>21</v>
      </c>
      <c r="I15" s="346"/>
      <c r="J15" s="346"/>
      <c r="K15" s="262"/>
      <c r="L15" s="346"/>
      <c r="M15" s="346"/>
      <c r="N15" s="346"/>
    </row>
    <row r="16" spans="1:14" ht="14.5" x14ac:dyDescent="0.35">
      <c r="A16" s="351" t="s">
        <v>16</v>
      </c>
      <c r="B16" s="352">
        <v>45486</v>
      </c>
      <c r="C16" s="382">
        <v>3213</v>
      </c>
      <c r="D16" s="383">
        <v>109</v>
      </c>
      <c r="E16" s="384">
        <v>0</v>
      </c>
      <c r="F16" s="384">
        <v>1</v>
      </c>
      <c r="G16" s="384" t="s">
        <v>952</v>
      </c>
      <c r="H16" s="385">
        <v>19</v>
      </c>
      <c r="I16" s="346"/>
      <c r="J16" s="346"/>
      <c r="K16" s="346"/>
      <c r="L16" s="346"/>
      <c r="M16" s="346"/>
      <c r="N16" s="346"/>
    </row>
    <row r="17" spans="1:14" ht="14.5" x14ac:dyDescent="0.35">
      <c r="A17" s="351" t="s">
        <v>18</v>
      </c>
      <c r="B17" s="352">
        <v>45487</v>
      </c>
      <c r="C17" s="225"/>
      <c r="D17" s="226"/>
      <c r="E17" s="227"/>
      <c r="F17" s="227"/>
      <c r="G17" s="227"/>
      <c r="H17" s="228"/>
      <c r="I17" s="506"/>
      <c r="J17" s="346"/>
      <c r="K17" s="346"/>
      <c r="L17" s="346"/>
      <c r="M17" s="346"/>
      <c r="N17" s="346"/>
    </row>
    <row r="18" spans="1:14" ht="14.5" x14ac:dyDescent="0.35">
      <c r="A18" s="351" t="s">
        <v>20</v>
      </c>
      <c r="B18" s="352">
        <v>45488</v>
      </c>
      <c r="C18" s="382">
        <v>4193</v>
      </c>
      <c r="D18" s="354">
        <v>83</v>
      </c>
      <c r="E18" s="380">
        <v>1</v>
      </c>
      <c r="F18" s="380">
        <v>5</v>
      </c>
      <c r="G18" s="380" t="s">
        <v>953</v>
      </c>
      <c r="H18" s="381">
        <v>27</v>
      </c>
      <c r="I18" s="346"/>
      <c r="J18" s="346"/>
      <c r="K18" s="346"/>
      <c r="L18" s="346"/>
      <c r="M18" s="346"/>
      <c r="N18" s="346"/>
    </row>
    <row r="19" spans="1:14" ht="14.5" x14ac:dyDescent="0.35">
      <c r="A19" s="351" t="s">
        <v>22</v>
      </c>
      <c r="B19" s="352">
        <v>45489</v>
      </c>
      <c r="C19" s="372">
        <v>1655</v>
      </c>
      <c r="D19" s="378">
        <v>69</v>
      </c>
      <c r="E19" s="362">
        <v>0</v>
      </c>
      <c r="F19" s="362">
        <v>2</v>
      </c>
      <c r="G19" s="362" t="s">
        <v>954</v>
      </c>
      <c r="H19" s="363">
        <v>13</v>
      </c>
      <c r="I19" s="386"/>
      <c r="J19" s="346"/>
      <c r="K19" s="346"/>
      <c r="L19" s="346"/>
      <c r="M19" s="346"/>
      <c r="N19" s="346"/>
    </row>
    <row r="20" spans="1:14" ht="14.5" x14ac:dyDescent="0.35">
      <c r="A20" s="351" t="s">
        <v>24</v>
      </c>
      <c r="B20" s="352">
        <v>45490</v>
      </c>
      <c r="C20" s="382">
        <v>4910</v>
      </c>
      <c r="D20" s="383">
        <v>50</v>
      </c>
      <c r="E20" s="380">
        <v>0</v>
      </c>
      <c r="F20" s="380">
        <v>3</v>
      </c>
      <c r="G20" s="384" t="s">
        <v>955</v>
      </c>
      <c r="H20" s="381">
        <v>18</v>
      </c>
      <c r="I20" s="346"/>
      <c r="J20" s="346"/>
      <c r="K20" s="346"/>
      <c r="L20" s="346"/>
      <c r="M20" s="346"/>
      <c r="N20" s="346"/>
    </row>
    <row r="21" spans="1:14" ht="14.5" x14ac:dyDescent="0.35">
      <c r="A21" s="351" t="s">
        <v>10</v>
      </c>
      <c r="B21" s="352">
        <v>45491</v>
      </c>
      <c r="C21" s="387">
        <v>1479</v>
      </c>
      <c r="D21" s="388">
        <v>154</v>
      </c>
      <c r="E21" s="389">
        <v>1</v>
      </c>
      <c r="F21" s="389">
        <v>2</v>
      </c>
      <c r="G21" s="389" t="s">
        <v>956</v>
      </c>
      <c r="H21" s="390">
        <v>15</v>
      </c>
      <c r="I21" s="391"/>
      <c r="J21" s="346"/>
      <c r="K21" s="346"/>
      <c r="L21" s="346"/>
      <c r="M21" s="346"/>
      <c r="N21" s="346"/>
    </row>
    <row r="22" spans="1:14" ht="14.5" x14ac:dyDescent="0.35">
      <c r="A22" s="351" t="s">
        <v>13</v>
      </c>
      <c r="B22" s="352">
        <v>45492</v>
      </c>
      <c r="C22" s="379">
        <v>3239</v>
      </c>
      <c r="D22" s="354">
        <v>25</v>
      </c>
      <c r="E22" s="380">
        <v>1</v>
      </c>
      <c r="F22" s="380">
        <v>2</v>
      </c>
      <c r="G22" s="380" t="s">
        <v>957</v>
      </c>
      <c r="H22" s="381">
        <v>19</v>
      </c>
      <c r="I22" s="386"/>
      <c r="J22" s="346"/>
      <c r="K22" s="346"/>
      <c r="L22" s="346"/>
      <c r="M22" s="346"/>
      <c r="N22" s="346"/>
    </row>
    <row r="23" spans="1:14" ht="14.5" x14ac:dyDescent="0.35">
      <c r="A23" s="351" t="s">
        <v>16</v>
      </c>
      <c r="B23" s="352">
        <v>45493</v>
      </c>
      <c r="C23" s="387">
        <v>1789</v>
      </c>
      <c r="D23" s="388">
        <v>94</v>
      </c>
      <c r="E23" s="389">
        <v>0</v>
      </c>
      <c r="F23" s="389">
        <v>3</v>
      </c>
      <c r="G23" s="380" t="s">
        <v>958</v>
      </c>
      <c r="H23" s="390">
        <v>21</v>
      </c>
      <c r="I23" s="391"/>
      <c r="J23" s="346"/>
      <c r="K23" s="346"/>
      <c r="L23" s="346"/>
      <c r="M23" s="346"/>
      <c r="N23" s="346"/>
    </row>
    <row r="24" spans="1:14" ht="14.5" x14ac:dyDescent="0.35">
      <c r="A24" s="351" t="s">
        <v>18</v>
      </c>
      <c r="B24" s="352">
        <v>45494</v>
      </c>
      <c r="C24" s="366"/>
      <c r="D24" s="367"/>
      <c r="E24" s="368"/>
      <c r="F24" s="368"/>
      <c r="G24" s="368"/>
      <c r="H24" s="369"/>
      <c r="I24" s="391"/>
      <c r="J24" s="346"/>
      <c r="K24" s="346"/>
      <c r="L24" s="346"/>
      <c r="M24" s="346"/>
      <c r="N24" s="346"/>
    </row>
    <row r="25" spans="1:14" ht="14.5" x14ac:dyDescent="0.35">
      <c r="A25" s="351" t="s">
        <v>20</v>
      </c>
      <c r="B25" s="352">
        <v>45495</v>
      </c>
      <c r="C25" s="372">
        <v>2830</v>
      </c>
      <c r="D25" s="373">
        <v>210</v>
      </c>
      <c r="E25" s="374">
        <v>0</v>
      </c>
      <c r="F25" s="374">
        <v>1</v>
      </c>
      <c r="G25" s="374" t="s">
        <v>959</v>
      </c>
      <c r="H25" s="392">
        <v>22</v>
      </c>
      <c r="I25" s="346"/>
      <c r="J25" s="346"/>
      <c r="K25" s="346"/>
      <c r="L25" s="346"/>
      <c r="M25" s="346"/>
      <c r="N25" s="346"/>
    </row>
    <row r="26" spans="1:14" ht="14.5" x14ac:dyDescent="0.35">
      <c r="A26" s="351" t="s">
        <v>22</v>
      </c>
      <c r="B26" s="352">
        <v>45496</v>
      </c>
      <c r="C26" s="382">
        <v>1812</v>
      </c>
      <c r="D26" s="383">
        <v>54</v>
      </c>
      <c r="E26" s="384">
        <v>0</v>
      </c>
      <c r="F26" s="384">
        <v>0</v>
      </c>
      <c r="G26" s="384" t="s">
        <v>960</v>
      </c>
      <c r="H26" s="385">
        <v>13</v>
      </c>
      <c r="I26" s="346"/>
      <c r="J26" s="346"/>
      <c r="K26" s="346"/>
      <c r="L26" s="346"/>
      <c r="M26" s="346"/>
      <c r="N26" s="346"/>
    </row>
    <row r="27" spans="1:14" ht="14.5" x14ac:dyDescent="0.35">
      <c r="A27" s="351" t="s">
        <v>24</v>
      </c>
      <c r="B27" s="352">
        <v>45497</v>
      </c>
      <c r="C27" s="387">
        <v>2996</v>
      </c>
      <c r="D27" s="388">
        <v>118</v>
      </c>
      <c r="E27" s="389">
        <v>0</v>
      </c>
      <c r="F27" s="389">
        <v>2</v>
      </c>
      <c r="G27" s="239" t="s">
        <v>961</v>
      </c>
      <c r="H27" s="390">
        <v>24</v>
      </c>
      <c r="I27" s="391"/>
      <c r="J27" s="346"/>
      <c r="K27" s="346"/>
      <c r="L27" s="346"/>
      <c r="M27" s="346"/>
      <c r="N27" s="346"/>
    </row>
    <row r="28" spans="1:14" ht="14.5" x14ac:dyDescent="0.35">
      <c r="A28" s="351" t="s">
        <v>10</v>
      </c>
      <c r="B28" s="352">
        <v>45498</v>
      </c>
      <c r="C28" s="382">
        <v>1923</v>
      </c>
      <c r="D28" s="383">
        <v>83</v>
      </c>
      <c r="E28" s="384">
        <v>0</v>
      </c>
      <c r="F28" s="384">
        <v>4</v>
      </c>
      <c r="G28" s="384" t="s">
        <v>960</v>
      </c>
      <c r="H28" s="385">
        <v>24</v>
      </c>
      <c r="I28" s="346"/>
      <c r="J28" s="346"/>
      <c r="K28" s="346"/>
      <c r="L28" s="346"/>
      <c r="M28" s="346"/>
      <c r="N28" s="346"/>
    </row>
    <row r="29" spans="1:14" ht="14.5" x14ac:dyDescent="0.35">
      <c r="A29" s="351" t="s">
        <v>13</v>
      </c>
      <c r="B29" s="352">
        <v>45499</v>
      </c>
      <c r="C29" s="372">
        <v>1729</v>
      </c>
      <c r="D29" s="393">
        <v>108</v>
      </c>
      <c r="E29" s="394">
        <v>0</v>
      </c>
      <c r="F29" s="395">
        <v>2</v>
      </c>
      <c r="G29" s="374" t="s">
        <v>962</v>
      </c>
      <c r="H29" s="392">
        <v>18</v>
      </c>
      <c r="I29" s="346"/>
      <c r="J29" s="346"/>
      <c r="K29" s="346"/>
      <c r="L29" s="346"/>
      <c r="M29" s="346"/>
      <c r="N29" s="346"/>
    </row>
    <row r="30" spans="1:14" ht="14.5" x14ac:dyDescent="0.35">
      <c r="A30" s="351" t="s">
        <v>16</v>
      </c>
      <c r="B30" s="352">
        <v>45500</v>
      </c>
      <c r="C30" s="379">
        <v>5721</v>
      </c>
      <c r="D30" s="396">
        <v>41</v>
      </c>
      <c r="E30" s="397">
        <v>0</v>
      </c>
      <c r="F30" s="386">
        <v>5</v>
      </c>
      <c r="G30" s="397" t="s">
        <v>963</v>
      </c>
      <c r="H30" s="398">
        <v>19</v>
      </c>
      <c r="I30" s="386"/>
      <c r="J30" s="346"/>
      <c r="K30" s="346"/>
      <c r="L30" s="399"/>
      <c r="M30" s="346"/>
      <c r="N30" s="346"/>
    </row>
    <row r="31" spans="1:14" ht="14.5" x14ac:dyDescent="0.35">
      <c r="A31" s="351" t="s">
        <v>18</v>
      </c>
      <c r="B31" s="352">
        <v>45501</v>
      </c>
      <c r="C31" s="379"/>
      <c r="D31" s="400"/>
      <c r="E31" s="397"/>
      <c r="F31" s="386"/>
      <c r="G31" s="401"/>
      <c r="H31" s="380"/>
      <c r="I31" s="386"/>
      <c r="J31" s="346"/>
      <c r="K31" s="346"/>
      <c r="L31" s="399"/>
      <c r="M31" s="346"/>
      <c r="N31" s="346"/>
    </row>
    <row r="32" spans="1:14" ht="14.5" x14ac:dyDescent="0.35">
      <c r="A32" s="351" t="s">
        <v>20</v>
      </c>
      <c r="B32" s="352">
        <v>45502</v>
      </c>
      <c r="C32" s="379">
        <v>2050</v>
      </c>
      <c r="D32" s="400">
        <v>54</v>
      </c>
      <c r="E32" s="397">
        <v>0</v>
      </c>
      <c r="F32" s="386">
        <v>2</v>
      </c>
      <c r="G32" s="401" t="s">
        <v>964</v>
      </c>
      <c r="H32" s="380">
        <v>15</v>
      </c>
      <c r="I32" s="386"/>
      <c r="J32" s="346"/>
      <c r="K32" s="346"/>
      <c r="L32" s="399"/>
      <c r="M32" s="346"/>
      <c r="N32" s="346"/>
    </row>
    <row r="33" spans="1:14" ht="14.5" x14ac:dyDescent="0.35">
      <c r="A33" s="351" t="s">
        <v>22</v>
      </c>
      <c r="B33" s="352">
        <v>45503</v>
      </c>
      <c r="C33" s="402">
        <v>1778</v>
      </c>
      <c r="D33" s="403">
        <v>50</v>
      </c>
      <c r="E33" s="397">
        <v>0</v>
      </c>
      <c r="F33" s="404">
        <v>2</v>
      </c>
      <c r="G33" s="401" t="s">
        <v>965</v>
      </c>
      <c r="H33" s="380">
        <v>14</v>
      </c>
      <c r="I33" s="346"/>
      <c r="J33" s="346"/>
      <c r="K33" s="346"/>
      <c r="L33" s="346"/>
      <c r="M33" s="346"/>
      <c r="N33" s="346"/>
    </row>
    <row r="34" spans="1:14" ht="14.5" x14ac:dyDescent="0.35">
      <c r="A34" s="351" t="s">
        <v>24</v>
      </c>
      <c r="B34" s="352">
        <v>45504</v>
      </c>
      <c r="C34" s="405">
        <v>2874</v>
      </c>
      <c r="D34" s="405">
        <v>87</v>
      </c>
      <c r="E34" s="357">
        <v>2</v>
      </c>
      <c r="F34" s="357">
        <v>1</v>
      </c>
      <c r="G34" s="357" t="s">
        <v>966</v>
      </c>
      <c r="H34" s="357">
        <v>21</v>
      </c>
      <c r="I34" s="386"/>
      <c r="J34" s="346"/>
      <c r="K34" s="346"/>
      <c r="L34" s="399"/>
      <c r="M34" s="346"/>
      <c r="N34" s="346"/>
    </row>
    <row r="35" spans="1:14" ht="14.5" x14ac:dyDescent="0.35">
      <c r="A35" s="406"/>
      <c r="B35" s="406"/>
      <c r="C35" s="258">
        <f>SUM(C4:C34)</f>
        <v>72545</v>
      </c>
      <c r="D35" s="259">
        <f>SUM(D4:D34)</f>
        <v>2241</v>
      </c>
      <c r="E35" s="260">
        <f>SUM(E4:E34)</f>
        <v>6</v>
      </c>
      <c r="F35" s="260">
        <f>SUM(F4:F34)</f>
        <v>67</v>
      </c>
      <c r="G35" s="261" t="s">
        <v>862</v>
      </c>
      <c r="H35" s="261">
        <f>SUM(H4:H34)</f>
        <v>535</v>
      </c>
      <c r="I35" s="477"/>
      <c r="J35" s="346"/>
      <c r="K35" s="346"/>
      <c r="L35" s="346"/>
      <c r="M35" s="346"/>
      <c r="N35" s="346"/>
    </row>
    <row r="36" spans="1:14" ht="14.5" x14ac:dyDescent="0.35">
      <c r="A36" s="346"/>
      <c r="B36" s="407"/>
      <c r="C36" s="509"/>
      <c r="D36" s="510"/>
      <c r="E36" s="475"/>
      <c r="F36" s="406"/>
      <c r="G36" s="346"/>
      <c r="H36" s="346"/>
      <c r="I36" s="346"/>
      <c r="J36" s="346"/>
      <c r="K36" s="346"/>
      <c r="L36" s="346"/>
      <c r="M36" s="346"/>
    </row>
    <row r="37" spans="1:14" ht="14.5" x14ac:dyDescent="0.35">
      <c r="A37" s="346"/>
      <c r="B37" s="407"/>
      <c r="C37" s="399"/>
      <c r="D37" s="399"/>
      <c r="E37" s="475"/>
      <c r="F37" s="511"/>
      <c r="G37" s="346"/>
      <c r="H37" s="346"/>
      <c r="I37" s="346"/>
      <c r="J37" s="346"/>
      <c r="K37" s="346"/>
      <c r="L37" s="346"/>
      <c r="M37" s="346"/>
    </row>
    <row r="38" spans="1:14" ht="14.5" x14ac:dyDescent="0.35">
      <c r="A38" s="346"/>
      <c r="B38" s="407"/>
      <c r="C38" s="475"/>
      <c r="D38" s="399"/>
      <c r="E38" s="475"/>
      <c r="F38" s="511"/>
      <c r="G38" s="346"/>
      <c r="H38" s="346"/>
      <c r="I38" s="346"/>
      <c r="J38" s="346"/>
      <c r="K38" s="346"/>
      <c r="L38" s="346"/>
      <c r="M38" s="346"/>
    </row>
    <row r="39" spans="1:14" ht="14.5" x14ac:dyDescent="0.35">
      <c r="A39" s="346"/>
      <c r="B39" s="407"/>
      <c r="C39" s="399"/>
      <c r="D39" s="399"/>
      <c r="E39" s="399"/>
      <c r="F39" s="346"/>
      <c r="G39" s="346"/>
      <c r="H39" s="346"/>
      <c r="I39" s="346"/>
      <c r="J39" s="346"/>
      <c r="K39" s="346"/>
      <c r="L39" s="346"/>
      <c r="M39" s="346"/>
    </row>
    <row r="40" spans="1:14" ht="18.5" x14ac:dyDescent="0.45">
      <c r="A40" s="346"/>
      <c r="B40" s="407"/>
      <c r="C40" s="399"/>
      <c r="D40" s="512"/>
      <c r="E40" s="399"/>
      <c r="F40" s="346"/>
      <c r="G40" s="346"/>
      <c r="H40" s="346"/>
      <c r="I40" s="346"/>
      <c r="J40" s="346"/>
      <c r="K40" s="346"/>
      <c r="L40" s="346"/>
      <c r="M40" s="346"/>
    </row>
    <row r="41" spans="1:14" ht="15.65" customHeight="1" x14ac:dyDescent="0.4">
      <c r="A41" s="348"/>
      <c r="B41" s="931" t="s">
        <v>37</v>
      </c>
      <c r="C41" s="935" t="s">
        <v>0</v>
      </c>
      <c r="D41" s="298" t="s">
        <v>2</v>
      </c>
      <c r="E41" s="184" t="s">
        <v>3</v>
      </c>
      <c r="F41" s="185" t="s">
        <v>143</v>
      </c>
      <c r="G41" s="186" t="s">
        <v>6</v>
      </c>
      <c r="H41" s="187" t="s">
        <v>7</v>
      </c>
      <c r="I41" s="349"/>
      <c r="J41" s="349"/>
      <c r="K41" s="923" t="s">
        <v>12</v>
      </c>
      <c r="L41" s="923"/>
      <c r="M41" s="349"/>
      <c r="N41" s="349"/>
    </row>
    <row r="42" spans="1:14" ht="29.25" customHeight="1" x14ac:dyDescent="0.35">
      <c r="A42" s="350"/>
      <c r="B42" s="937"/>
      <c r="C42" s="936"/>
      <c r="D42" s="299" t="s">
        <v>0</v>
      </c>
      <c r="E42" s="188" t="s">
        <v>0</v>
      </c>
      <c r="F42" s="499" t="s">
        <v>0</v>
      </c>
      <c r="G42" s="500" t="s">
        <v>8</v>
      </c>
      <c r="H42" s="501" t="s">
        <v>9</v>
      </c>
      <c r="I42" s="346"/>
      <c r="J42" s="346"/>
      <c r="K42" s="408" t="s">
        <v>15</v>
      </c>
      <c r="L42" s="409">
        <v>53000</v>
      </c>
      <c r="M42" s="346"/>
      <c r="N42" s="346"/>
    </row>
    <row r="43" spans="1:14" ht="14.5" x14ac:dyDescent="0.35">
      <c r="A43" s="351" t="s">
        <v>20</v>
      </c>
      <c r="B43" s="352">
        <v>45474</v>
      </c>
      <c r="C43" s="353">
        <v>2425</v>
      </c>
      <c r="D43" s="354">
        <v>279</v>
      </c>
      <c r="E43" s="355">
        <v>0</v>
      </c>
      <c r="F43" s="356">
        <v>6</v>
      </c>
      <c r="G43" s="380" t="s">
        <v>967</v>
      </c>
      <c r="H43" s="462">
        <v>19</v>
      </c>
      <c r="I43" s="346"/>
      <c r="J43" s="346"/>
      <c r="K43" s="370" t="s">
        <v>17</v>
      </c>
      <c r="L43" s="411">
        <v>2600</v>
      </c>
      <c r="M43" s="346"/>
      <c r="N43" s="346"/>
    </row>
    <row r="44" spans="1:14" ht="14.5" x14ac:dyDescent="0.35">
      <c r="A44" s="351" t="s">
        <v>22</v>
      </c>
      <c r="B44" s="352">
        <v>45475</v>
      </c>
      <c r="C44" s="377">
        <v>2228</v>
      </c>
      <c r="D44" s="378">
        <v>135</v>
      </c>
      <c r="E44" s="362">
        <v>0</v>
      </c>
      <c r="F44" s="362">
        <v>7</v>
      </c>
      <c r="G44" s="362" t="s">
        <v>968</v>
      </c>
      <c r="H44" s="363">
        <v>16</v>
      </c>
      <c r="I44" s="346"/>
      <c r="J44" s="346"/>
      <c r="K44" s="412" t="s">
        <v>3</v>
      </c>
      <c r="L44" s="413">
        <v>25</v>
      </c>
      <c r="M44" s="346"/>
      <c r="N44" s="346"/>
    </row>
    <row r="45" spans="1:14" ht="14.5" x14ac:dyDescent="0.35">
      <c r="A45" s="351" t="s">
        <v>24</v>
      </c>
      <c r="B45" s="352">
        <v>45476</v>
      </c>
      <c r="C45" s="366">
        <v>2075</v>
      </c>
      <c r="D45" s="367">
        <v>0</v>
      </c>
      <c r="E45" s="368">
        <v>0</v>
      </c>
      <c r="F45" s="368">
        <v>2</v>
      </c>
      <c r="G45" s="368" t="s">
        <v>969</v>
      </c>
      <c r="H45" s="369">
        <v>9</v>
      </c>
      <c r="I45" s="346"/>
      <c r="J45" s="414"/>
      <c r="K45" s="346"/>
      <c r="L45" s="407"/>
      <c r="M45" s="346"/>
      <c r="N45" s="346"/>
    </row>
    <row r="46" spans="1:14" ht="14.5" x14ac:dyDescent="0.35">
      <c r="A46" s="351" t="s">
        <v>10</v>
      </c>
      <c r="B46" s="352">
        <v>45477</v>
      </c>
      <c r="C46" s="372"/>
      <c r="D46" s="373"/>
      <c r="E46" s="374"/>
      <c r="F46" s="374"/>
      <c r="G46" s="374"/>
      <c r="H46" s="392"/>
      <c r="I46" s="346"/>
      <c r="J46" s="346"/>
      <c r="K46" s="346"/>
      <c r="L46" s="407"/>
      <c r="M46" s="346"/>
      <c r="N46" s="346"/>
    </row>
    <row r="47" spans="1:14" ht="14.5" x14ac:dyDescent="0.35">
      <c r="A47" s="351" t="s">
        <v>13</v>
      </c>
      <c r="B47" s="352">
        <v>45478</v>
      </c>
      <c r="C47" s="366">
        <v>2813</v>
      </c>
      <c r="D47" s="367">
        <v>65</v>
      </c>
      <c r="E47" s="368">
        <v>0</v>
      </c>
      <c r="F47" s="368">
        <v>1</v>
      </c>
      <c r="G47" s="368" t="s">
        <v>970</v>
      </c>
      <c r="H47" s="369">
        <v>12</v>
      </c>
      <c r="I47" s="346"/>
      <c r="J47" s="346"/>
      <c r="K47" s="346"/>
      <c r="L47" s="407"/>
      <c r="M47" s="346"/>
      <c r="N47" s="346"/>
    </row>
    <row r="48" spans="1:14" ht="14.5" x14ac:dyDescent="0.35">
      <c r="A48" s="351" t="s">
        <v>16</v>
      </c>
      <c r="B48" s="352">
        <v>45479</v>
      </c>
      <c r="C48" s="377">
        <v>2298</v>
      </c>
      <c r="D48" s="378">
        <v>101</v>
      </c>
      <c r="E48" s="362">
        <v>0</v>
      </c>
      <c r="F48" s="362">
        <v>10</v>
      </c>
      <c r="G48" s="368" t="s">
        <v>815</v>
      </c>
      <c r="H48" s="363">
        <v>17</v>
      </c>
      <c r="I48" s="346"/>
      <c r="J48" s="346"/>
      <c r="K48" s="346"/>
      <c r="L48" s="407"/>
      <c r="M48" s="346"/>
      <c r="N48" s="346"/>
    </row>
    <row r="49" spans="1:14" ht="14.5" x14ac:dyDescent="0.35">
      <c r="A49" s="351" t="s">
        <v>18</v>
      </c>
      <c r="B49" s="352">
        <v>45480</v>
      </c>
      <c r="C49" s="379"/>
      <c r="D49" s="354"/>
      <c r="E49" s="380"/>
      <c r="F49" s="380"/>
      <c r="G49" s="380"/>
      <c r="H49" s="381"/>
      <c r="I49" s="346"/>
      <c r="J49" s="346"/>
      <c r="K49" s="346"/>
      <c r="L49" s="346"/>
      <c r="M49" s="346"/>
      <c r="N49" s="346"/>
    </row>
    <row r="50" spans="1:14" ht="14.5" x14ac:dyDescent="0.35">
      <c r="A50" s="351" t="s">
        <v>20</v>
      </c>
      <c r="B50" s="352">
        <v>45481</v>
      </c>
      <c r="C50" s="217">
        <v>1370</v>
      </c>
      <c r="D50" s="218">
        <v>210</v>
      </c>
      <c r="E50" s="219">
        <v>1</v>
      </c>
      <c r="F50" s="219">
        <v>10</v>
      </c>
      <c r="G50" s="300" t="s">
        <v>891</v>
      </c>
      <c r="H50" s="220">
        <v>14</v>
      </c>
      <c r="I50" s="346"/>
      <c r="J50" s="346"/>
      <c r="K50" s="346"/>
      <c r="L50" s="346"/>
      <c r="M50" s="346"/>
      <c r="N50" s="346"/>
    </row>
    <row r="51" spans="1:14" ht="14.5" x14ac:dyDescent="0.35">
      <c r="A51" s="351" t="s">
        <v>22</v>
      </c>
      <c r="B51" s="352">
        <v>45482</v>
      </c>
      <c r="C51" s="221">
        <v>2440</v>
      </c>
      <c r="D51" s="222">
        <v>85</v>
      </c>
      <c r="E51" s="223">
        <v>0</v>
      </c>
      <c r="F51" s="223">
        <v>5</v>
      </c>
      <c r="G51" s="223" t="s">
        <v>971</v>
      </c>
      <c r="H51" s="224">
        <v>10</v>
      </c>
      <c r="I51" s="346"/>
      <c r="J51" s="346"/>
      <c r="K51" s="346"/>
      <c r="L51" s="346"/>
      <c r="M51" s="346"/>
      <c r="N51" s="346"/>
    </row>
    <row r="52" spans="1:14" ht="14.5" x14ac:dyDescent="0.35">
      <c r="A52" s="351" t="s">
        <v>24</v>
      </c>
      <c r="B52" s="352">
        <v>45483</v>
      </c>
      <c r="C52" s="225">
        <v>1697</v>
      </c>
      <c r="D52" s="226">
        <v>65</v>
      </c>
      <c r="E52" s="227">
        <v>0</v>
      </c>
      <c r="F52" s="227">
        <v>1</v>
      </c>
      <c r="G52" s="227" t="s">
        <v>972</v>
      </c>
      <c r="H52" s="228">
        <v>12</v>
      </c>
      <c r="I52" s="346"/>
      <c r="J52" s="346"/>
      <c r="K52" s="346"/>
      <c r="L52" s="346"/>
      <c r="M52" s="346"/>
      <c r="N52" s="346"/>
    </row>
    <row r="53" spans="1:14" ht="14.5" x14ac:dyDescent="0.35">
      <c r="A53" s="351" t="s">
        <v>10</v>
      </c>
      <c r="B53" s="352">
        <v>45484</v>
      </c>
      <c r="C53" s="229">
        <v>1628</v>
      </c>
      <c r="D53" s="230">
        <v>50</v>
      </c>
      <c r="E53" s="231">
        <v>0</v>
      </c>
      <c r="F53" s="231">
        <v>0</v>
      </c>
      <c r="G53" s="231" t="s">
        <v>973</v>
      </c>
      <c r="H53" s="232">
        <v>16</v>
      </c>
      <c r="I53" s="346"/>
      <c r="J53" s="346"/>
      <c r="K53" s="346"/>
      <c r="L53" s="346"/>
      <c r="M53" s="346"/>
      <c r="N53" s="346"/>
    </row>
    <row r="54" spans="1:14" ht="14.5" x14ac:dyDescent="0.35">
      <c r="A54" s="351" t="s">
        <v>13</v>
      </c>
      <c r="B54" s="352">
        <v>45485</v>
      </c>
      <c r="C54" s="225">
        <v>2163</v>
      </c>
      <c r="D54" s="226">
        <v>25</v>
      </c>
      <c r="E54" s="227">
        <v>0</v>
      </c>
      <c r="F54" s="227">
        <v>0</v>
      </c>
      <c r="G54" s="227" t="s">
        <v>974</v>
      </c>
      <c r="H54" s="228">
        <v>12</v>
      </c>
      <c r="I54" s="346"/>
      <c r="J54" s="346"/>
      <c r="K54" s="346"/>
      <c r="L54" s="346"/>
      <c r="M54" s="346"/>
      <c r="N54" s="346"/>
    </row>
    <row r="55" spans="1:14" ht="14.5" x14ac:dyDescent="0.35">
      <c r="A55" s="351" t="s">
        <v>16</v>
      </c>
      <c r="B55" s="352">
        <v>45486</v>
      </c>
      <c r="C55" s="382">
        <v>1680</v>
      </c>
      <c r="D55" s="383">
        <v>65</v>
      </c>
      <c r="E55" s="384">
        <v>0</v>
      </c>
      <c r="F55" s="384">
        <v>3</v>
      </c>
      <c r="G55" s="384" t="s">
        <v>975</v>
      </c>
      <c r="H55" s="385">
        <v>10</v>
      </c>
      <c r="I55" s="346" t="s">
        <v>821</v>
      </c>
      <c r="J55" s="346"/>
      <c r="K55" s="346"/>
      <c r="L55" s="346"/>
      <c r="M55" s="346"/>
      <c r="N55" s="346"/>
    </row>
    <row r="56" spans="1:14" ht="14.5" x14ac:dyDescent="0.35">
      <c r="A56" s="351" t="s">
        <v>18</v>
      </c>
      <c r="B56" s="352">
        <v>45487</v>
      </c>
      <c r="C56" s="225"/>
      <c r="D56" s="226"/>
      <c r="E56" s="227"/>
      <c r="F56" s="227"/>
      <c r="G56" s="227"/>
      <c r="H56" s="228"/>
      <c r="I56" s="346"/>
      <c r="J56" s="346"/>
      <c r="K56" s="346"/>
      <c r="L56" s="346"/>
      <c r="M56" s="346"/>
      <c r="N56" s="346"/>
    </row>
    <row r="57" spans="1:14" ht="14.5" x14ac:dyDescent="0.35">
      <c r="A57" s="351" t="s">
        <v>20</v>
      </c>
      <c r="B57" s="352">
        <v>45488</v>
      </c>
      <c r="C57" s="382">
        <v>1535</v>
      </c>
      <c r="D57" s="354">
        <v>167</v>
      </c>
      <c r="E57" s="380">
        <v>0</v>
      </c>
      <c r="F57" s="380">
        <v>5</v>
      </c>
      <c r="G57" s="380" t="s">
        <v>976</v>
      </c>
      <c r="H57" s="381">
        <v>16</v>
      </c>
      <c r="I57" s="346"/>
      <c r="J57" s="346"/>
      <c r="K57" s="346"/>
      <c r="L57" s="346"/>
      <c r="M57" s="346"/>
      <c r="N57" s="346"/>
    </row>
    <row r="58" spans="1:14" ht="14.5" x14ac:dyDescent="0.35">
      <c r="A58" s="351" t="s">
        <v>22</v>
      </c>
      <c r="B58" s="352">
        <v>45489</v>
      </c>
      <c r="C58" s="372">
        <v>2478</v>
      </c>
      <c r="D58" s="378">
        <v>116</v>
      </c>
      <c r="E58" s="362">
        <v>1</v>
      </c>
      <c r="F58" s="362">
        <v>5</v>
      </c>
      <c r="G58" s="362" t="s">
        <v>977</v>
      </c>
      <c r="H58" s="363">
        <v>10</v>
      </c>
      <c r="I58" s="346"/>
      <c r="J58" s="346"/>
      <c r="K58" s="346"/>
      <c r="L58" s="346"/>
      <c r="M58" s="346"/>
      <c r="N58" s="346"/>
    </row>
    <row r="59" spans="1:14" ht="14.5" x14ac:dyDescent="0.35">
      <c r="A59" s="351" t="s">
        <v>24</v>
      </c>
      <c r="B59" s="352">
        <v>45490</v>
      </c>
      <c r="C59" s="382">
        <v>2123</v>
      </c>
      <c r="D59" s="383">
        <v>0</v>
      </c>
      <c r="E59" s="380">
        <v>0</v>
      </c>
      <c r="F59" s="380">
        <v>2</v>
      </c>
      <c r="G59" s="384" t="s">
        <v>978</v>
      </c>
      <c r="H59" s="381">
        <v>13</v>
      </c>
      <c r="I59" s="346"/>
      <c r="J59" s="346"/>
      <c r="K59" s="346"/>
      <c r="L59" s="346"/>
      <c r="M59" s="346"/>
      <c r="N59" s="346"/>
    </row>
    <row r="60" spans="1:14" ht="14.5" x14ac:dyDescent="0.35">
      <c r="A60" s="351" t="s">
        <v>10</v>
      </c>
      <c r="B60" s="352">
        <v>45491</v>
      </c>
      <c r="C60" s="387">
        <v>2397</v>
      </c>
      <c r="D60" s="388">
        <v>50</v>
      </c>
      <c r="E60" s="389">
        <v>0</v>
      </c>
      <c r="F60" s="389">
        <v>0</v>
      </c>
      <c r="G60" s="389" t="s">
        <v>979</v>
      </c>
      <c r="H60" s="390">
        <v>10</v>
      </c>
      <c r="I60" s="346"/>
      <c r="J60" s="346"/>
      <c r="K60" s="346"/>
      <c r="L60" s="346"/>
      <c r="M60" s="346"/>
      <c r="N60" s="346"/>
    </row>
    <row r="61" spans="1:14" ht="14.5" x14ac:dyDescent="0.35">
      <c r="A61" s="351" t="s">
        <v>13</v>
      </c>
      <c r="B61" s="352">
        <v>45492</v>
      </c>
      <c r="C61" s="379">
        <v>2358</v>
      </c>
      <c r="D61" s="354">
        <v>0</v>
      </c>
      <c r="E61" s="380">
        <v>0</v>
      </c>
      <c r="F61" s="380">
        <v>2</v>
      </c>
      <c r="G61" s="380" t="s">
        <v>980</v>
      </c>
      <c r="H61" s="381">
        <v>11</v>
      </c>
      <c r="I61" s="346"/>
      <c r="J61" s="346"/>
      <c r="K61" s="346"/>
      <c r="L61" s="346"/>
      <c r="M61" s="346"/>
      <c r="N61" s="346"/>
    </row>
    <row r="62" spans="1:14" ht="14.5" x14ac:dyDescent="0.35">
      <c r="A62" s="351" t="s">
        <v>16</v>
      </c>
      <c r="B62" s="352">
        <v>45493</v>
      </c>
      <c r="C62" s="387">
        <v>2612</v>
      </c>
      <c r="D62" s="388">
        <v>165</v>
      </c>
      <c r="E62" s="389">
        <v>1</v>
      </c>
      <c r="F62" s="389">
        <v>5</v>
      </c>
      <c r="G62" s="380" t="s">
        <v>981</v>
      </c>
      <c r="H62" s="390">
        <v>17</v>
      </c>
      <c r="I62" s="346"/>
      <c r="J62" s="346"/>
      <c r="K62" s="346"/>
      <c r="L62" s="346"/>
      <c r="M62" s="346"/>
      <c r="N62" s="346"/>
    </row>
    <row r="63" spans="1:14" ht="14.5" x14ac:dyDescent="0.35">
      <c r="A63" s="351" t="s">
        <v>18</v>
      </c>
      <c r="B63" s="352">
        <v>45494</v>
      </c>
      <c r="C63" s="366"/>
      <c r="D63" s="367"/>
      <c r="E63" s="368"/>
      <c r="F63" s="368"/>
      <c r="G63" s="368"/>
      <c r="H63" s="369"/>
      <c r="I63" s="346"/>
      <c r="J63" s="346"/>
      <c r="K63" s="346"/>
      <c r="L63" s="346"/>
      <c r="M63" s="346"/>
      <c r="N63" s="346"/>
    </row>
    <row r="64" spans="1:14" ht="14.5" x14ac:dyDescent="0.35">
      <c r="A64" s="351" t="s">
        <v>20</v>
      </c>
      <c r="B64" s="352">
        <v>45495</v>
      </c>
      <c r="C64" s="372">
        <v>3378</v>
      </c>
      <c r="D64" s="373">
        <v>256</v>
      </c>
      <c r="E64" s="374">
        <v>2</v>
      </c>
      <c r="F64" s="374">
        <v>9</v>
      </c>
      <c r="G64" s="374" t="s">
        <v>982</v>
      </c>
      <c r="H64" s="392">
        <v>24</v>
      </c>
      <c r="I64" s="346"/>
      <c r="J64" s="346"/>
      <c r="K64" s="346"/>
      <c r="L64" s="346"/>
      <c r="M64" s="346"/>
      <c r="N64" s="346"/>
    </row>
    <row r="65" spans="1:14" ht="14.5" x14ac:dyDescent="0.35">
      <c r="A65" s="351" t="s">
        <v>22</v>
      </c>
      <c r="B65" s="352">
        <v>45496</v>
      </c>
      <c r="C65" s="382">
        <v>1139</v>
      </c>
      <c r="D65" s="383">
        <v>165</v>
      </c>
      <c r="E65" s="384">
        <v>1</v>
      </c>
      <c r="F65" s="384">
        <v>5</v>
      </c>
      <c r="G65" s="467" t="s">
        <v>983</v>
      </c>
      <c r="H65" s="385">
        <v>19</v>
      </c>
      <c r="I65" s="346"/>
      <c r="J65" s="346"/>
      <c r="K65" s="346"/>
      <c r="L65" s="346"/>
      <c r="M65" s="346"/>
      <c r="N65" s="346"/>
    </row>
    <row r="66" spans="1:14" ht="14.5" x14ac:dyDescent="0.35">
      <c r="A66" s="351" t="s">
        <v>24</v>
      </c>
      <c r="B66" s="352">
        <v>45497</v>
      </c>
      <c r="C66" s="387">
        <v>1835</v>
      </c>
      <c r="D66" s="388">
        <v>110</v>
      </c>
      <c r="E66" s="389">
        <v>0</v>
      </c>
      <c r="F66" s="389">
        <v>0</v>
      </c>
      <c r="G66" s="239" t="s">
        <v>984</v>
      </c>
      <c r="H66" s="390">
        <v>10</v>
      </c>
      <c r="I66" s="346"/>
      <c r="J66" s="346"/>
      <c r="K66" s="346"/>
      <c r="L66" s="346"/>
      <c r="M66" s="346"/>
      <c r="N66" s="346"/>
    </row>
    <row r="67" spans="1:14" ht="14.5" x14ac:dyDescent="0.35">
      <c r="A67" s="351" t="s">
        <v>10</v>
      </c>
      <c r="B67" s="352">
        <v>45498</v>
      </c>
      <c r="C67" s="382">
        <v>2545</v>
      </c>
      <c r="D67" s="383">
        <v>110</v>
      </c>
      <c r="E67" s="384">
        <v>0</v>
      </c>
      <c r="F67" s="384">
        <v>0</v>
      </c>
      <c r="G67" s="384" t="s">
        <v>985</v>
      </c>
      <c r="H67" s="385">
        <v>10</v>
      </c>
      <c r="I67" s="346"/>
      <c r="J67" s="346"/>
      <c r="K67" s="346"/>
      <c r="L67" s="346"/>
      <c r="M67" s="346"/>
      <c r="N67" s="346"/>
    </row>
    <row r="68" spans="1:14" ht="14.5" x14ac:dyDescent="0.35">
      <c r="A68" s="351" t="s">
        <v>13</v>
      </c>
      <c r="B68" s="352">
        <v>45499</v>
      </c>
      <c r="C68" s="372">
        <v>2341</v>
      </c>
      <c r="D68" s="373">
        <v>90</v>
      </c>
      <c r="E68" s="374">
        <v>0</v>
      </c>
      <c r="F68" s="374">
        <v>1</v>
      </c>
      <c r="G68" s="374" t="s">
        <v>986</v>
      </c>
      <c r="H68" s="392">
        <v>18</v>
      </c>
      <c r="I68" s="346"/>
      <c r="J68" s="346"/>
      <c r="K68" s="346"/>
      <c r="L68" s="346"/>
      <c r="M68" s="346"/>
      <c r="N68" s="346"/>
    </row>
    <row r="69" spans="1:14" ht="14.5" x14ac:dyDescent="0.35">
      <c r="A69" s="351" t="s">
        <v>16</v>
      </c>
      <c r="B69" s="352">
        <v>45500</v>
      </c>
      <c r="C69" s="379">
        <v>2091</v>
      </c>
      <c r="D69" s="354">
        <v>340</v>
      </c>
      <c r="E69" s="380">
        <v>0</v>
      </c>
      <c r="F69" s="380">
        <v>5</v>
      </c>
      <c r="G69" s="380" t="s">
        <v>987</v>
      </c>
      <c r="H69" s="381">
        <v>12</v>
      </c>
      <c r="I69" s="346"/>
      <c r="J69" s="346"/>
      <c r="K69" s="346"/>
      <c r="L69" s="346"/>
      <c r="M69" s="346"/>
      <c r="N69" s="346"/>
    </row>
    <row r="70" spans="1:14" ht="14.5" x14ac:dyDescent="0.35">
      <c r="A70" s="351" t="s">
        <v>18</v>
      </c>
      <c r="B70" s="352">
        <v>45501</v>
      </c>
      <c r="C70" s="377"/>
      <c r="D70" s="378"/>
      <c r="E70" s="362"/>
      <c r="F70" s="362"/>
      <c r="G70" s="362"/>
      <c r="H70" s="363"/>
      <c r="I70" s="346"/>
      <c r="J70" s="346"/>
      <c r="K70" s="346"/>
      <c r="L70" s="346"/>
      <c r="M70" s="346"/>
      <c r="N70" s="346"/>
    </row>
    <row r="71" spans="1:14" ht="14.5" x14ac:dyDescent="0.35">
      <c r="A71" s="351" t="s">
        <v>20</v>
      </c>
      <c r="B71" s="352">
        <v>45502</v>
      </c>
      <c r="C71" s="382">
        <v>2168</v>
      </c>
      <c r="D71" s="263">
        <v>85</v>
      </c>
      <c r="E71" s="380">
        <v>1</v>
      </c>
      <c r="F71" s="380">
        <v>7</v>
      </c>
      <c r="G71" s="380" t="s">
        <v>988</v>
      </c>
      <c r="H71" s="381">
        <v>15</v>
      </c>
      <c r="I71" s="346"/>
      <c r="J71" s="346"/>
      <c r="K71" s="346"/>
      <c r="L71" s="346"/>
      <c r="M71" s="346"/>
      <c r="N71" s="346"/>
    </row>
    <row r="72" spans="1:14" ht="14.5" x14ac:dyDescent="0.35">
      <c r="A72" s="351" t="s">
        <v>22</v>
      </c>
      <c r="B72" s="352">
        <v>45503</v>
      </c>
      <c r="C72" s="377">
        <v>1276</v>
      </c>
      <c r="D72" s="378">
        <v>0</v>
      </c>
      <c r="E72" s="362">
        <v>0</v>
      </c>
      <c r="F72" s="362">
        <v>1</v>
      </c>
      <c r="G72" s="362" t="s">
        <v>989</v>
      </c>
      <c r="H72" s="363">
        <v>10</v>
      </c>
      <c r="I72" s="346"/>
      <c r="J72" s="346"/>
      <c r="K72" s="346"/>
      <c r="L72" s="346"/>
      <c r="M72" s="346"/>
      <c r="N72" s="346"/>
    </row>
    <row r="73" spans="1:14" ht="14.5" x14ac:dyDescent="0.35">
      <c r="A73" s="351" t="s">
        <v>24</v>
      </c>
      <c r="B73" s="352">
        <v>45504</v>
      </c>
      <c r="C73" s="415">
        <v>1728</v>
      </c>
      <c r="D73" s="416">
        <v>125</v>
      </c>
      <c r="E73" s="410">
        <v>0</v>
      </c>
      <c r="F73" s="410">
        <v>3</v>
      </c>
      <c r="G73" s="410" t="s">
        <v>990</v>
      </c>
      <c r="H73" s="417">
        <v>13</v>
      </c>
      <c r="I73" s="346"/>
      <c r="J73" s="346"/>
      <c r="K73" s="346"/>
      <c r="L73" s="346"/>
      <c r="M73" s="346"/>
      <c r="N73" s="346"/>
    </row>
    <row r="74" spans="1:14" ht="14.5" x14ac:dyDescent="0.35">
      <c r="A74" s="406"/>
      <c r="B74" s="418"/>
      <c r="C74" s="258">
        <f>SUM(C43:C73)</f>
        <v>54821</v>
      </c>
      <c r="D74" s="259">
        <f>SUM(D43:D73)</f>
        <v>2859</v>
      </c>
      <c r="E74" s="260">
        <f>SUM(E43:E73)</f>
        <v>7</v>
      </c>
      <c r="F74" s="260">
        <f>SUM(F43:F73)</f>
        <v>95</v>
      </c>
      <c r="G74" s="261" t="s">
        <v>731</v>
      </c>
      <c r="H74" s="261">
        <f>SUM(H43:H73)</f>
        <v>355</v>
      </c>
      <c r="I74" s="399"/>
      <c r="J74" s="399"/>
      <c r="K74" s="346"/>
      <c r="L74" s="346"/>
      <c r="M74" s="346"/>
      <c r="N74" s="346"/>
    </row>
    <row r="75" spans="1:14" ht="14.5" x14ac:dyDescent="0.35">
      <c r="A75" s="346"/>
      <c r="B75" s="407"/>
      <c r="C75" s="399"/>
      <c r="D75" s="346"/>
      <c r="E75" s="475"/>
      <c r="F75" s="511"/>
      <c r="G75" s="346"/>
      <c r="H75" s="346"/>
      <c r="I75" s="346"/>
      <c r="J75" s="346"/>
      <c r="K75" s="346"/>
      <c r="L75" s="346"/>
      <c r="M75" s="346"/>
    </row>
    <row r="76" spans="1:14" ht="14.5" x14ac:dyDescent="0.35">
      <c r="A76" s="346"/>
      <c r="B76" s="407"/>
      <c r="C76" s="399"/>
      <c r="D76" s="346"/>
      <c r="E76" s="399"/>
      <c r="F76" s="346"/>
      <c r="G76" s="346"/>
      <c r="H76" s="346"/>
      <c r="I76" s="346"/>
      <c r="J76" s="346"/>
      <c r="K76" s="346"/>
      <c r="L76" s="346"/>
      <c r="M76" s="346"/>
    </row>
    <row r="77" spans="1:14" ht="15.65" customHeight="1" x14ac:dyDescent="0.4">
      <c r="A77" s="348"/>
      <c r="B77" s="926" t="s">
        <v>53</v>
      </c>
      <c r="C77" s="935" t="s">
        <v>0</v>
      </c>
      <c r="D77" s="298" t="s">
        <v>2</v>
      </c>
      <c r="E77" s="184" t="s">
        <v>3</v>
      </c>
      <c r="F77" s="185" t="s">
        <v>143</v>
      </c>
      <c r="G77" s="186" t="s">
        <v>6</v>
      </c>
      <c r="H77" s="187" t="s">
        <v>7</v>
      </c>
      <c r="I77" s="349"/>
      <c r="J77" s="349"/>
      <c r="K77" s="349"/>
      <c r="L77" s="349"/>
      <c r="M77" s="349"/>
      <c r="N77" s="349"/>
    </row>
    <row r="78" spans="1:14" ht="29" x14ac:dyDescent="0.35">
      <c r="A78" s="350"/>
      <c r="B78" s="934"/>
      <c r="C78" s="936"/>
      <c r="D78" s="299" t="s">
        <v>0</v>
      </c>
      <c r="E78" s="188" t="s">
        <v>0</v>
      </c>
      <c r="F78" s="183" t="s">
        <v>0</v>
      </c>
      <c r="G78" s="500" t="s">
        <v>8</v>
      </c>
      <c r="H78" s="501" t="s">
        <v>9</v>
      </c>
      <c r="I78" s="346"/>
      <c r="J78" s="346"/>
      <c r="K78" s="923" t="s">
        <v>12</v>
      </c>
      <c r="L78" s="923"/>
      <c r="M78" s="346"/>
      <c r="N78" s="346"/>
    </row>
    <row r="79" spans="1:14" ht="14.5" x14ac:dyDescent="0.35">
      <c r="A79" s="351" t="s">
        <v>20</v>
      </c>
      <c r="B79" s="352">
        <v>45474</v>
      </c>
      <c r="C79" s="353">
        <v>1077</v>
      </c>
      <c r="D79" s="354">
        <v>0</v>
      </c>
      <c r="E79" s="355">
        <v>0</v>
      </c>
      <c r="F79" s="466">
        <v>0</v>
      </c>
      <c r="G79" s="380" t="s">
        <v>991</v>
      </c>
      <c r="H79" s="462">
        <v>15</v>
      </c>
      <c r="I79" s="346"/>
      <c r="J79" s="346"/>
      <c r="K79" s="408" t="s">
        <v>15</v>
      </c>
      <c r="L79" s="409">
        <v>56000</v>
      </c>
      <c r="M79" s="346"/>
      <c r="N79" s="346"/>
    </row>
    <row r="80" spans="1:14" ht="14.5" x14ac:dyDescent="0.35">
      <c r="A80" s="351" t="s">
        <v>22</v>
      </c>
      <c r="B80" s="352">
        <v>45475</v>
      </c>
      <c r="C80" s="377">
        <v>1081</v>
      </c>
      <c r="D80" s="378">
        <v>0</v>
      </c>
      <c r="E80" s="362">
        <v>0</v>
      </c>
      <c r="F80" s="362">
        <v>1</v>
      </c>
      <c r="G80" s="362" t="s">
        <v>992</v>
      </c>
      <c r="H80" s="363">
        <v>15</v>
      </c>
      <c r="I80" s="346"/>
      <c r="J80" s="346"/>
      <c r="K80" s="370" t="s">
        <v>17</v>
      </c>
      <c r="L80" s="411">
        <v>3000</v>
      </c>
      <c r="M80" s="346"/>
      <c r="N80" s="346"/>
    </row>
    <row r="81" spans="1:14" ht="14.5" x14ac:dyDescent="0.35">
      <c r="A81" s="351" t="s">
        <v>24</v>
      </c>
      <c r="B81" s="352">
        <v>45476</v>
      </c>
      <c r="C81" s="366">
        <v>1775</v>
      </c>
      <c r="D81" s="367">
        <v>58</v>
      </c>
      <c r="E81" s="368">
        <v>0</v>
      </c>
      <c r="F81" s="368">
        <v>0</v>
      </c>
      <c r="G81" s="368" t="s">
        <v>993</v>
      </c>
      <c r="H81" s="369">
        <v>9</v>
      </c>
      <c r="I81" s="346"/>
      <c r="J81" s="346"/>
      <c r="K81" s="412" t="s">
        <v>3</v>
      </c>
      <c r="L81" s="413">
        <v>15</v>
      </c>
      <c r="M81" s="346"/>
      <c r="N81" s="346"/>
    </row>
    <row r="82" spans="1:14" ht="14.5" x14ac:dyDescent="0.35">
      <c r="A82" s="351" t="s">
        <v>10</v>
      </c>
      <c r="B82" s="352">
        <v>45477</v>
      </c>
      <c r="C82" s="372"/>
      <c r="D82" s="373"/>
      <c r="E82" s="374"/>
      <c r="F82" s="374"/>
      <c r="G82" s="374"/>
      <c r="H82" s="392"/>
      <c r="I82" s="346"/>
      <c r="J82" s="346"/>
      <c r="K82" s="346"/>
      <c r="L82" s="346"/>
      <c r="M82" s="346"/>
      <c r="N82" s="346"/>
    </row>
    <row r="83" spans="1:14" ht="14.5" x14ac:dyDescent="0.35">
      <c r="A83" s="351" t="s">
        <v>13</v>
      </c>
      <c r="B83" s="352">
        <v>45478</v>
      </c>
      <c r="C83" s="366">
        <v>2784</v>
      </c>
      <c r="D83" s="367">
        <v>0</v>
      </c>
      <c r="E83" s="368">
        <v>0</v>
      </c>
      <c r="F83" s="368">
        <v>0</v>
      </c>
      <c r="G83" s="368" t="s">
        <v>994</v>
      </c>
      <c r="H83" s="369">
        <v>16</v>
      </c>
      <c r="I83" s="346"/>
      <c r="J83" s="346"/>
      <c r="K83" s="346"/>
      <c r="L83" s="346"/>
      <c r="M83" s="346"/>
      <c r="N83" s="346"/>
    </row>
    <row r="84" spans="1:14" ht="14.5" x14ac:dyDescent="0.35">
      <c r="A84" s="351" t="s">
        <v>16</v>
      </c>
      <c r="B84" s="352">
        <v>45479</v>
      </c>
      <c r="C84" s="377">
        <v>3638</v>
      </c>
      <c r="D84" s="378">
        <v>282</v>
      </c>
      <c r="E84" s="362">
        <v>0</v>
      </c>
      <c r="F84" s="362">
        <v>1</v>
      </c>
      <c r="G84" s="362" t="s">
        <v>995</v>
      </c>
      <c r="H84" s="363">
        <v>19</v>
      </c>
      <c r="I84" s="346"/>
      <c r="J84" s="346"/>
      <c r="K84" s="346"/>
      <c r="L84" s="346"/>
      <c r="M84" s="346"/>
      <c r="N84" s="346"/>
    </row>
    <row r="85" spans="1:14" ht="14.5" x14ac:dyDescent="0.35">
      <c r="A85" s="351" t="s">
        <v>18</v>
      </c>
      <c r="B85" s="352">
        <v>45480</v>
      </c>
      <c r="C85" s="379"/>
      <c r="D85" s="354"/>
      <c r="E85" s="380"/>
      <c r="F85" s="380"/>
      <c r="G85" s="380"/>
      <c r="H85" s="381"/>
      <c r="I85" s="346"/>
      <c r="J85" s="346"/>
      <c r="K85" s="346"/>
      <c r="L85" s="346"/>
      <c r="M85" s="346"/>
      <c r="N85" s="346"/>
    </row>
    <row r="86" spans="1:14" ht="14.5" x14ac:dyDescent="0.35">
      <c r="A86" s="351" t="s">
        <v>20</v>
      </c>
      <c r="B86" s="352">
        <v>45481</v>
      </c>
      <c r="C86" s="217">
        <v>2029</v>
      </c>
      <c r="D86" s="218">
        <v>29</v>
      </c>
      <c r="E86" s="219">
        <v>0</v>
      </c>
      <c r="F86" s="219">
        <v>0</v>
      </c>
      <c r="G86" s="219" t="s">
        <v>996</v>
      </c>
      <c r="H86" s="220">
        <v>14</v>
      </c>
      <c r="I86" s="346"/>
      <c r="J86" s="346"/>
      <c r="K86" s="346"/>
      <c r="L86" s="346"/>
      <c r="M86" s="346"/>
      <c r="N86" s="346"/>
    </row>
    <row r="87" spans="1:14" ht="14.5" x14ac:dyDescent="0.35">
      <c r="A87" s="351" t="s">
        <v>22</v>
      </c>
      <c r="B87" s="352">
        <v>45482</v>
      </c>
      <c r="C87" s="221">
        <v>2684</v>
      </c>
      <c r="D87" s="222">
        <v>58</v>
      </c>
      <c r="E87" s="223">
        <v>0</v>
      </c>
      <c r="F87" s="223">
        <v>6</v>
      </c>
      <c r="G87" s="223" t="s">
        <v>997</v>
      </c>
      <c r="H87" s="224">
        <v>22</v>
      </c>
      <c r="I87" s="346"/>
      <c r="J87" s="346"/>
      <c r="K87" s="346"/>
      <c r="L87" s="346"/>
      <c r="M87" s="346"/>
      <c r="N87" s="346"/>
    </row>
    <row r="88" spans="1:14" ht="14.5" x14ac:dyDescent="0.35">
      <c r="A88" s="351" t="s">
        <v>24</v>
      </c>
      <c r="B88" s="352">
        <v>45483</v>
      </c>
      <c r="C88" s="225">
        <v>1624</v>
      </c>
      <c r="D88" s="226">
        <v>199</v>
      </c>
      <c r="E88" s="227">
        <v>0</v>
      </c>
      <c r="F88" s="227">
        <v>4</v>
      </c>
      <c r="G88" s="227" t="s">
        <v>998</v>
      </c>
      <c r="H88" s="228">
        <v>16</v>
      </c>
      <c r="I88" s="346"/>
      <c r="J88" s="346"/>
      <c r="K88" s="346"/>
      <c r="L88" s="346"/>
      <c r="M88" s="346"/>
      <c r="N88" s="346"/>
    </row>
    <row r="89" spans="1:14" ht="14.5" x14ac:dyDescent="0.35">
      <c r="A89" s="351" t="s">
        <v>10</v>
      </c>
      <c r="B89" s="352">
        <v>45484</v>
      </c>
      <c r="C89" s="229">
        <v>1785</v>
      </c>
      <c r="D89" s="230">
        <v>29</v>
      </c>
      <c r="E89" s="231">
        <v>0</v>
      </c>
      <c r="F89" s="231">
        <v>1</v>
      </c>
      <c r="G89" s="231" t="s">
        <v>999</v>
      </c>
      <c r="H89" s="232">
        <v>17</v>
      </c>
      <c r="I89" s="346"/>
      <c r="J89" s="346"/>
      <c r="K89" s="346"/>
      <c r="L89" s="346"/>
      <c r="M89" s="346"/>
      <c r="N89" s="346"/>
    </row>
    <row r="90" spans="1:14" ht="14.5" x14ac:dyDescent="0.35">
      <c r="A90" s="351" t="s">
        <v>13</v>
      </c>
      <c r="B90" s="352">
        <v>45485</v>
      </c>
      <c r="C90" s="225">
        <v>3811</v>
      </c>
      <c r="D90" s="226">
        <v>145</v>
      </c>
      <c r="E90" s="227">
        <v>0</v>
      </c>
      <c r="F90" s="227">
        <v>4</v>
      </c>
      <c r="G90" s="227" t="s">
        <v>1000</v>
      </c>
      <c r="H90" s="228">
        <v>26</v>
      </c>
      <c r="I90" s="346"/>
      <c r="J90" s="346"/>
      <c r="K90" s="346"/>
      <c r="L90" s="346"/>
      <c r="M90" s="346"/>
      <c r="N90" s="346"/>
    </row>
    <row r="91" spans="1:14" ht="14.5" x14ac:dyDescent="0.35">
      <c r="A91" s="351" t="s">
        <v>16</v>
      </c>
      <c r="B91" s="352">
        <v>45486</v>
      </c>
      <c r="C91" s="382">
        <v>1000</v>
      </c>
      <c r="D91" s="383">
        <v>58</v>
      </c>
      <c r="E91" s="384">
        <v>0</v>
      </c>
      <c r="F91" s="384">
        <v>0</v>
      </c>
      <c r="G91" s="384" t="s">
        <v>1001</v>
      </c>
      <c r="H91" s="385">
        <v>10</v>
      </c>
      <c r="I91" s="346"/>
      <c r="J91" s="346"/>
      <c r="K91" s="346"/>
      <c r="L91" s="346"/>
      <c r="M91" s="346"/>
      <c r="N91" s="346"/>
    </row>
    <row r="92" spans="1:14" ht="14.5" x14ac:dyDescent="0.35">
      <c r="A92" s="351" t="s">
        <v>18</v>
      </c>
      <c r="B92" s="352">
        <v>45487</v>
      </c>
      <c r="C92" s="225"/>
      <c r="D92" s="226"/>
      <c r="E92" s="227"/>
      <c r="F92" s="227"/>
      <c r="G92" s="227"/>
      <c r="H92" s="228"/>
      <c r="I92" s="346"/>
      <c r="J92" s="346"/>
      <c r="K92" s="346"/>
      <c r="L92" s="346"/>
      <c r="M92" s="346"/>
      <c r="N92" s="346"/>
    </row>
    <row r="93" spans="1:14" ht="14.5" x14ac:dyDescent="0.35">
      <c r="A93" s="351" t="s">
        <v>20</v>
      </c>
      <c r="B93" s="352">
        <v>45488</v>
      </c>
      <c r="C93" s="382">
        <v>1335</v>
      </c>
      <c r="D93" s="354">
        <v>114</v>
      </c>
      <c r="E93" s="380">
        <v>0</v>
      </c>
      <c r="F93" s="380">
        <v>0</v>
      </c>
      <c r="G93" s="380" t="s">
        <v>299</v>
      </c>
      <c r="H93" s="381">
        <v>22</v>
      </c>
      <c r="I93" s="346"/>
      <c r="J93" s="346"/>
      <c r="K93" s="346"/>
      <c r="L93" s="346"/>
      <c r="M93" s="346"/>
      <c r="N93" s="346"/>
    </row>
    <row r="94" spans="1:14" ht="14.5" x14ac:dyDescent="0.35">
      <c r="A94" s="351" t="s">
        <v>22</v>
      </c>
      <c r="B94" s="352">
        <v>45489</v>
      </c>
      <c r="C94" s="372">
        <v>4877</v>
      </c>
      <c r="D94" s="378">
        <v>58</v>
      </c>
      <c r="E94" s="362">
        <v>0</v>
      </c>
      <c r="F94" s="362">
        <v>5</v>
      </c>
      <c r="G94" s="362" t="s">
        <v>1002</v>
      </c>
      <c r="H94" s="363">
        <v>22</v>
      </c>
      <c r="I94" s="346"/>
      <c r="J94" s="346"/>
      <c r="K94" s="346"/>
      <c r="L94" s="346"/>
      <c r="M94" s="346"/>
      <c r="N94" s="346"/>
    </row>
    <row r="95" spans="1:14" ht="14.5" x14ac:dyDescent="0.35">
      <c r="A95" s="351" t="s">
        <v>24</v>
      </c>
      <c r="B95" s="352">
        <v>45490</v>
      </c>
      <c r="C95" s="382">
        <v>3078</v>
      </c>
      <c r="D95" s="383">
        <v>87</v>
      </c>
      <c r="E95" s="380">
        <v>0</v>
      </c>
      <c r="F95" s="380">
        <v>1</v>
      </c>
      <c r="G95" s="384" t="s">
        <v>1003</v>
      </c>
      <c r="H95" s="381">
        <v>11</v>
      </c>
      <c r="I95" s="346"/>
      <c r="J95" s="346"/>
      <c r="K95" s="346"/>
      <c r="L95" s="346"/>
      <c r="M95" s="346"/>
      <c r="N95" s="346"/>
    </row>
    <row r="96" spans="1:14" ht="14.5" x14ac:dyDescent="0.35">
      <c r="A96" s="351" t="s">
        <v>10</v>
      </c>
      <c r="B96" s="352">
        <v>45491</v>
      </c>
      <c r="C96" s="387">
        <v>2662</v>
      </c>
      <c r="D96" s="270">
        <v>29</v>
      </c>
      <c r="E96" s="389">
        <v>0</v>
      </c>
      <c r="F96" s="389">
        <v>0</v>
      </c>
      <c r="G96" s="389" t="s">
        <v>1004</v>
      </c>
      <c r="H96" s="390">
        <v>17</v>
      </c>
      <c r="I96" s="346"/>
      <c r="J96" s="346"/>
      <c r="K96" s="346"/>
      <c r="L96" s="346"/>
      <c r="M96" s="346"/>
      <c r="N96" s="346"/>
    </row>
    <row r="97" spans="1:14" ht="14.5" x14ac:dyDescent="0.35">
      <c r="A97" s="351" t="s">
        <v>13</v>
      </c>
      <c r="B97" s="352">
        <v>45492</v>
      </c>
      <c r="C97" s="379">
        <v>1946</v>
      </c>
      <c r="D97" s="354">
        <v>108</v>
      </c>
      <c r="E97" s="380">
        <v>0</v>
      </c>
      <c r="F97" s="380">
        <v>3</v>
      </c>
      <c r="G97" s="380" t="s">
        <v>1005</v>
      </c>
      <c r="H97" s="381">
        <v>12</v>
      </c>
      <c r="I97" s="346"/>
      <c r="J97" s="346"/>
      <c r="K97" s="346"/>
      <c r="L97" s="346"/>
      <c r="M97" s="346"/>
      <c r="N97" s="346"/>
    </row>
    <row r="98" spans="1:14" ht="14.5" x14ac:dyDescent="0.35">
      <c r="A98" s="351" t="s">
        <v>16</v>
      </c>
      <c r="B98" s="352">
        <v>45493</v>
      </c>
      <c r="C98" s="387">
        <v>3211</v>
      </c>
      <c r="D98" s="388">
        <v>87</v>
      </c>
      <c r="E98" s="389">
        <v>1</v>
      </c>
      <c r="F98" s="389">
        <v>2</v>
      </c>
      <c r="G98" s="380" t="s">
        <v>1006</v>
      </c>
      <c r="H98" s="390">
        <v>18</v>
      </c>
      <c r="I98" s="346"/>
      <c r="J98" s="346"/>
      <c r="K98" s="346"/>
      <c r="L98" s="346"/>
      <c r="M98" s="346"/>
      <c r="N98" s="346"/>
    </row>
    <row r="99" spans="1:14" ht="14.5" x14ac:dyDescent="0.35">
      <c r="A99" s="351" t="s">
        <v>18</v>
      </c>
      <c r="B99" s="352">
        <v>45494</v>
      </c>
      <c r="C99" s="366"/>
      <c r="D99" s="367"/>
      <c r="E99" s="368"/>
      <c r="F99" s="368"/>
      <c r="G99" s="368"/>
      <c r="H99" s="369"/>
      <c r="I99" s="346"/>
      <c r="J99" s="346"/>
      <c r="K99" s="346"/>
      <c r="L99" s="346"/>
      <c r="M99" s="346"/>
      <c r="N99" s="346"/>
    </row>
    <row r="100" spans="1:14" ht="14.5" x14ac:dyDescent="0.35">
      <c r="A100" s="351" t="s">
        <v>20</v>
      </c>
      <c r="B100" s="352">
        <v>45495</v>
      </c>
      <c r="C100" s="372">
        <v>2084</v>
      </c>
      <c r="D100" s="373">
        <v>87</v>
      </c>
      <c r="E100" s="374">
        <v>0</v>
      </c>
      <c r="F100" s="374">
        <v>1</v>
      </c>
      <c r="G100" s="374" t="s">
        <v>1007</v>
      </c>
      <c r="H100" s="392">
        <v>22</v>
      </c>
      <c r="I100" s="346"/>
      <c r="J100" s="346"/>
      <c r="K100" s="346"/>
      <c r="L100" s="346"/>
      <c r="M100" s="346"/>
      <c r="N100" s="346"/>
    </row>
    <row r="101" spans="1:14" ht="14.5" x14ac:dyDescent="0.35">
      <c r="A101" s="351" t="s">
        <v>22</v>
      </c>
      <c r="B101" s="352">
        <v>45496</v>
      </c>
      <c r="C101" s="382">
        <v>1149</v>
      </c>
      <c r="D101" s="383">
        <v>29</v>
      </c>
      <c r="E101" s="384">
        <v>0</v>
      </c>
      <c r="F101" s="384">
        <v>0</v>
      </c>
      <c r="G101" s="384" t="s">
        <v>1008</v>
      </c>
      <c r="H101" s="385">
        <v>14</v>
      </c>
      <c r="I101" s="346"/>
      <c r="J101" s="346"/>
      <c r="K101" s="346"/>
      <c r="L101" s="346"/>
      <c r="M101" s="346"/>
      <c r="N101" s="346"/>
    </row>
    <row r="102" spans="1:14" ht="14.5" x14ac:dyDescent="0.35">
      <c r="A102" s="351" t="s">
        <v>24</v>
      </c>
      <c r="B102" s="352">
        <v>45497</v>
      </c>
      <c r="C102" s="387">
        <v>1043</v>
      </c>
      <c r="D102" s="388">
        <v>58</v>
      </c>
      <c r="E102" s="389">
        <v>0</v>
      </c>
      <c r="F102" s="389">
        <v>4</v>
      </c>
      <c r="G102" s="239" t="s">
        <v>1009</v>
      </c>
      <c r="H102" s="390">
        <v>9</v>
      </c>
      <c r="I102" s="346"/>
      <c r="J102" s="346"/>
      <c r="K102" s="346"/>
      <c r="L102" s="346"/>
      <c r="M102" s="346"/>
      <c r="N102" s="346"/>
    </row>
    <row r="103" spans="1:14" ht="14.5" x14ac:dyDescent="0.35">
      <c r="A103" s="351" t="s">
        <v>10</v>
      </c>
      <c r="B103" s="352">
        <v>45498</v>
      </c>
      <c r="C103" s="382">
        <v>1476</v>
      </c>
      <c r="D103" s="383">
        <v>116</v>
      </c>
      <c r="E103" s="384">
        <v>0</v>
      </c>
      <c r="F103" s="384">
        <v>2</v>
      </c>
      <c r="G103" s="384" t="s">
        <v>1010</v>
      </c>
      <c r="H103" s="385">
        <v>16</v>
      </c>
      <c r="I103" s="346"/>
      <c r="J103" s="346"/>
      <c r="K103" s="346"/>
      <c r="L103" s="346"/>
      <c r="M103" s="399"/>
      <c r="N103" s="346"/>
    </row>
    <row r="104" spans="1:14" ht="14.5" x14ac:dyDescent="0.35">
      <c r="A104" s="351" t="s">
        <v>13</v>
      </c>
      <c r="B104" s="352">
        <v>45499</v>
      </c>
      <c r="C104" s="372">
        <v>1280</v>
      </c>
      <c r="D104" s="373">
        <v>25</v>
      </c>
      <c r="E104" s="374">
        <v>0</v>
      </c>
      <c r="F104" s="374">
        <v>1</v>
      </c>
      <c r="G104" s="374" t="s">
        <v>1011</v>
      </c>
      <c r="H104" s="392">
        <v>9</v>
      </c>
      <c r="I104" s="346"/>
      <c r="J104" s="346"/>
      <c r="K104" s="346"/>
      <c r="L104" s="346"/>
      <c r="M104" s="399"/>
      <c r="N104" s="346"/>
    </row>
    <row r="105" spans="1:14" ht="14.5" x14ac:dyDescent="0.35">
      <c r="A105" s="351" t="s">
        <v>16</v>
      </c>
      <c r="B105" s="352">
        <v>45500</v>
      </c>
      <c r="C105" s="379">
        <v>684</v>
      </c>
      <c r="D105" s="354">
        <v>87</v>
      </c>
      <c r="E105" s="380">
        <v>0</v>
      </c>
      <c r="F105" s="380">
        <v>0</v>
      </c>
      <c r="G105" s="380" t="s">
        <v>1012</v>
      </c>
      <c r="H105" s="419">
        <v>7</v>
      </c>
      <c r="I105" s="346"/>
      <c r="J105" s="346"/>
      <c r="K105" s="346"/>
      <c r="L105" s="346"/>
      <c r="M105" s="346"/>
      <c r="N105" s="346"/>
    </row>
    <row r="106" spans="1:14" ht="14.5" x14ac:dyDescent="0.35">
      <c r="A106" s="351" t="s">
        <v>18</v>
      </c>
      <c r="B106" s="352">
        <v>45501</v>
      </c>
      <c r="C106" s="377"/>
      <c r="D106" s="378"/>
      <c r="E106" s="362"/>
      <c r="F106" s="362"/>
      <c r="G106" s="380"/>
      <c r="H106" s="363"/>
      <c r="I106" s="346"/>
      <c r="J106" s="346"/>
      <c r="M106" s="346"/>
      <c r="N106" s="346"/>
    </row>
    <row r="107" spans="1:14" ht="14.5" x14ac:dyDescent="0.35">
      <c r="A107" s="351" t="s">
        <v>20</v>
      </c>
      <c r="B107" s="352">
        <v>45502</v>
      </c>
      <c r="C107" s="382">
        <v>607</v>
      </c>
      <c r="D107" s="354">
        <v>87</v>
      </c>
      <c r="E107" s="380">
        <v>0</v>
      </c>
      <c r="F107" s="386">
        <v>0</v>
      </c>
      <c r="G107" s="346" t="s">
        <v>896</v>
      </c>
      <c r="H107" s="381">
        <v>11</v>
      </c>
      <c r="I107" s="346"/>
      <c r="J107" s="346"/>
      <c r="M107" s="346"/>
      <c r="N107" s="346"/>
    </row>
    <row r="108" spans="1:14" ht="14.5" x14ac:dyDescent="0.35">
      <c r="A108" s="351" t="s">
        <v>22</v>
      </c>
      <c r="B108" s="352">
        <v>45503</v>
      </c>
      <c r="C108" s="377">
        <v>1304</v>
      </c>
      <c r="D108" s="378">
        <v>29</v>
      </c>
      <c r="E108" s="362">
        <v>0</v>
      </c>
      <c r="F108" s="362">
        <v>5</v>
      </c>
      <c r="G108" s="362" t="s">
        <v>1013</v>
      </c>
      <c r="H108" s="363">
        <v>12</v>
      </c>
      <c r="I108" s="346"/>
      <c r="J108" s="346"/>
      <c r="M108" s="346"/>
      <c r="N108" s="346"/>
    </row>
    <row r="109" spans="1:14" ht="14.5" x14ac:dyDescent="0.35">
      <c r="A109" s="351" t="s">
        <v>24</v>
      </c>
      <c r="B109" s="352">
        <v>45504</v>
      </c>
      <c r="C109" s="415">
        <v>1366</v>
      </c>
      <c r="D109" s="416">
        <v>29</v>
      </c>
      <c r="E109" s="410">
        <v>0</v>
      </c>
      <c r="F109" s="410">
        <v>0</v>
      </c>
      <c r="G109" s="410" t="s">
        <v>1014</v>
      </c>
      <c r="H109" s="417">
        <v>9</v>
      </c>
      <c r="I109" s="346"/>
      <c r="J109" s="346"/>
      <c r="M109" s="346"/>
      <c r="N109" s="346"/>
    </row>
    <row r="110" spans="1:14" ht="14.5" x14ac:dyDescent="0.35">
      <c r="A110" s="406"/>
      <c r="B110" s="418"/>
      <c r="C110" s="258">
        <f>SUM(C79:C109)</f>
        <v>51390</v>
      </c>
      <c r="D110" s="259">
        <f>SUM(D79:D109)</f>
        <v>1888</v>
      </c>
      <c r="E110" s="260">
        <f>SUM(E79:E109)</f>
        <v>1</v>
      </c>
      <c r="F110" s="260">
        <f>SUM(F79:F109)</f>
        <v>41</v>
      </c>
      <c r="G110" s="261" t="s">
        <v>913</v>
      </c>
      <c r="H110" s="261">
        <f>SUM(H79:H109)</f>
        <v>390</v>
      </c>
      <c r="I110" s="399"/>
      <c r="J110" s="399"/>
      <c r="K110" s="346"/>
      <c r="L110" s="346"/>
      <c r="M110" s="346"/>
      <c r="N110" s="346"/>
    </row>
    <row r="111" spans="1:14" ht="14.5" x14ac:dyDescent="0.35">
      <c r="A111" s="346"/>
      <c r="B111" s="407"/>
      <c r="C111" s="399"/>
      <c r="D111" s="475"/>
      <c r="E111" s="511"/>
      <c r="F111" s="346"/>
      <c r="G111" s="346"/>
      <c r="H111" s="346"/>
      <c r="I111" s="346"/>
      <c r="J111" s="346"/>
      <c r="K111" s="346"/>
      <c r="L111" s="346"/>
      <c r="M111" s="346"/>
    </row>
    <row r="112" spans="1:14" thickBot="1" x14ac:dyDescent="0.4">
      <c r="A112" s="346"/>
      <c r="B112" s="407"/>
      <c r="C112" s="399"/>
      <c r="D112" s="475"/>
      <c r="E112" s="511"/>
      <c r="F112" s="346"/>
      <c r="G112" s="346"/>
      <c r="H112" s="346"/>
      <c r="I112" s="346"/>
      <c r="J112" s="346"/>
      <c r="K112" s="346"/>
      <c r="L112" s="346"/>
      <c r="M112" s="346"/>
    </row>
    <row r="113" spans="1:13" ht="16" x14ac:dyDescent="0.4">
      <c r="A113" s="348"/>
      <c r="B113" s="926" t="s">
        <v>70</v>
      </c>
      <c r="C113" s="935" t="s">
        <v>0</v>
      </c>
      <c r="D113" s="298" t="s">
        <v>2</v>
      </c>
      <c r="E113" s="184" t="s">
        <v>3</v>
      </c>
      <c r="F113" s="185" t="s">
        <v>143</v>
      </c>
      <c r="G113" s="186" t="s">
        <v>6</v>
      </c>
      <c r="H113" s="187" t="s">
        <v>7</v>
      </c>
      <c r="I113" s="349"/>
      <c r="J113" s="349"/>
      <c r="K113" s="349"/>
      <c r="L113" s="349"/>
      <c r="M113" s="346"/>
    </row>
    <row r="114" spans="1:13" ht="25" customHeight="1" x14ac:dyDescent="0.35">
      <c r="A114" s="350"/>
      <c r="B114" s="934"/>
      <c r="C114" s="936"/>
      <c r="D114" s="299" t="s">
        <v>0</v>
      </c>
      <c r="E114" s="188" t="s">
        <v>0</v>
      </c>
      <c r="F114" s="183" t="s">
        <v>0</v>
      </c>
      <c r="G114" s="500" t="s">
        <v>8</v>
      </c>
      <c r="H114" s="501" t="s">
        <v>9</v>
      </c>
      <c r="I114" s="346"/>
      <c r="J114" s="346"/>
      <c r="K114" s="923" t="s">
        <v>12</v>
      </c>
      <c r="L114" s="923"/>
      <c r="M114" s="346"/>
    </row>
    <row r="115" spans="1:13" ht="14.5" x14ac:dyDescent="0.35">
      <c r="A115" s="351" t="s">
        <v>20</v>
      </c>
      <c r="B115" s="352">
        <v>45495</v>
      </c>
      <c r="C115" s="353">
        <v>570</v>
      </c>
      <c r="D115" s="354">
        <v>0</v>
      </c>
      <c r="E115" s="355">
        <v>0</v>
      </c>
      <c r="F115" s="466">
        <v>0</v>
      </c>
      <c r="G115" s="380"/>
      <c r="H115" s="462">
        <v>8</v>
      </c>
      <c r="I115" s="346"/>
      <c r="J115" s="346"/>
      <c r="K115" s="408" t="s">
        <v>15</v>
      </c>
      <c r="L115" s="409">
        <v>15000</v>
      </c>
      <c r="M115" s="346"/>
    </row>
    <row r="116" spans="1:13" ht="14.5" x14ac:dyDescent="0.35">
      <c r="A116" s="351" t="s">
        <v>22</v>
      </c>
      <c r="B116" s="352">
        <v>45496</v>
      </c>
      <c r="C116" s="377">
        <v>924</v>
      </c>
      <c r="D116" s="378">
        <v>0</v>
      </c>
      <c r="E116" s="362">
        <v>0</v>
      </c>
      <c r="F116" s="362">
        <v>0</v>
      </c>
      <c r="G116" s="203" t="s">
        <v>1015</v>
      </c>
      <c r="H116" s="363">
        <v>12</v>
      </c>
      <c r="I116" s="346"/>
      <c r="J116" s="346"/>
      <c r="K116" s="370" t="s">
        <v>17</v>
      </c>
      <c r="L116" s="411">
        <v>750</v>
      </c>
      <c r="M116" s="346"/>
    </row>
    <row r="117" spans="1:13" ht="14.5" x14ac:dyDescent="0.35">
      <c r="A117" s="351" t="s">
        <v>24</v>
      </c>
      <c r="B117" s="352">
        <v>45497</v>
      </c>
      <c r="C117" s="366">
        <v>1080</v>
      </c>
      <c r="D117" s="367">
        <v>254</v>
      </c>
      <c r="E117" s="368">
        <v>0</v>
      </c>
      <c r="F117" s="368">
        <v>3</v>
      </c>
      <c r="G117" s="207" t="s">
        <v>1016</v>
      </c>
      <c r="H117" s="369">
        <v>10</v>
      </c>
      <c r="I117" s="346"/>
      <c r="J117" s="346"/>
      <c r="K117" s="412" t="s">
        <v>3</v>
      </c>
      <c r="L117" s="413">
        <v>5</v>
      </c>
      <c r="M117" s="346"/>
    </row>
    <row r="118" spans="1:13" ht="14.5" x14ac:dyDescent="0.35">
      <c r="A118" s="351" t="s">
        <v>10</v>
      </c>
      <c r="B118" s="352">
        <v>45498</v>
      </c>
      <c r="C118" s="372">
        <v>798</v>
      </c>
      <c r="D118" s="373">
        <v>30</v>
      </c>
      <c r="E118" s="374">
        <v>0</v>
      </c>
      <c r="F118" s="374">
        <v>2</v>
      </c>
      <c r="G118" s="374" t="s">
        <v>1017</v>
      </c>
      <c r="H118" s="392">
        <v>6</v>
      </c>
      <c r="I118" s="346"/>
      <c r="J118" s="346"/>
      <c r="K118" s="346"/>
      <c r="L118" s="346"/>
      <c r="M118" s="346"/>
    </row>
    <row r="119" spans="1:13" ht="14.5" x14ac:dyDescent="0.35">
      <c r="A119" s="351" t="s">
        <v>13</v>
      </c>
      <c r="B119" s="352">
        <v>45499</v>
      </c>
      <c r="C119" s="366">
        <v>1644</v>
      </c>
      <c r="D119" s="367">
        <v>0</v>
      </c>
      <c r="E119" s="368">
        <v>0</v>
      </c>
      <c r="F119" s="368">
        <v>0</v>
      </c>
      <c r="G119" s="368" t="s">
        <v>1018</v>
      </c>
      <c r="H119" s="369">
        <v>9</v>
      </c>
      <c r="I119" s="346"/>
      <c r="J119" s="346"/>
      <c r="K119" s="346"/>
      <c r="L119" s="346"/>
      <c r="M119" s="346"/>
    </row>
    <row r="120" spans="1:13" ht="14.5" x14ac:dyDescent="0.35">
      <c r="A120" s="351" t="s">
        <v>16</v>
      </c>
      <c r="B120" s="352">
        <v>45500</v>
      </c>
      <c r="C120" s="377">
        <v>1477</v>
      </c>
      <c r="D120" s="378">
        <v>0</v>
      </c>
      <c r="E120" s="362">
        <v>0</v>
      </c>
      <c r="F120" s="362">
        <v>0</v>
      </c>
      <c r="G120" s="362" t="s">
        <v>1019</v>
      </c>
      <c r="H120" s="363">
        <v>10</v>
      </c>
      <c r="I120" s="346"/>
      <c r="J120" s="346"/>
      <c r="K120" s="346"/>
      <c r="L120" s="346"/>
      <c r="M120" s="346"/>
    </row>
    <row r="121" spans="1:13" ht="14.5" x14ac:dyDescent="0.35">
      <c r="A121" s="351" t="s">
        <v>18</v>
      </c>
      <c r="B121" s="352">
        <v>45501</v>
      </c>
      <c r="C121" s="379"/>
      <c r="D121" s="354"/>
      <c r="E121" s="380"/>
      <c r="F121" s="380"/>
      <c r="G121" s="380"/>
      <c r="H121" s="381"/>
      <c r="I121" s="346"/>
      <c r="J121" s="346"/>
      <c r="K121" s="346"/>
      <c r="L121" s="346"/>
      <c r="M121" s="346"/>
    </row>
    <row r="122" spans="1:13" ht="14.5" x14ac:dyDescent="0.35">
      <c r="A122" s="351" t="s">
        <v>20</v>
      </c>
      <c r="B122" s="352">
        <v>45502</v>
      </c>
      <c r="C122" s="217">
        <v>4556</v>
      </c>
      <c r="D122" s="218">
        <v>120</v>
      </c>
      <c r="E122" s="219">
        <v>1</v>
      </c>
      <c r="F122" s="219">
        <v>0</v>
      </c>
      <c r="G122" s="219" t="s">
        <v>1019</v>
      </c>
      <c r="H122" s="220">
        <v>19</v>
      </c>
      <c r="I122" s="346"/>
      <c r="J122" s="346"/>
      <c r="K122" s="346"/>
      <c r="L122" s="346"/>
      <c r="M122" s="346"/>
    </row>
    <row r="123" spans="1:13" ht="14.5" x14ac:dyDescent="0.35">
      <c r="A123" s="351" t="s">
        <v>22</v>
      </c>
      <c r="B123" s="352">
        <v>45503</v>
      </c>
      <c r="C123" s="221">
        <v>2361</v>
      </c>
      <c r="D123" s="222">
        <v>60</v>
      </c>
      <c r="E123" s="223">
        <v>0</v>
      </c>
      <c r="F123" s="223">
        <v>0</v>
      </c>
      <c r="G123" s="223" t="s">
        <v>1020</v>
      </c>
      <c r="H123" s="224">
        <v>11</v>
      </c>
      <c r="I123" s="346"/>
      <c r="J123" s="346"/>
      <c r="K123" s="346"/>
      <c r="L123" s="346"/>
      <c r="M123" s="346"/>
    </row>
    <row r="124" spans="1:13" thickBot="1" x14ac:dyDescent="0.4">
      <c r="A124" s="351" t="s">
        <v>24</v>
      </c>
      <c r="B124" s="352">
        <v>45504</v>
      </c>
      <c r="C124" s="563">
        <v>2231</v>
      </c>
      <c r="D124" s="563">
        <v>30</v>
      </c>
      <c r="E124" s="564">
        <v>0</v>
      </c>
      <c r="F124" s="564">
        <v>1</v>
      </c>
      <c r="G124" s="564" t="s">
        <v>689</v>
      </c>
      <c r="H124" s="565">
        <v>10</v>
      </c>
      <c r="I124" s="346"/>
      <c r="J124" s="346"/>
      <c r="K124" s="346"/>
      <c r="L124" s="346"/>
      <c r="M124" s="346"/>
    </row>
    <row r="125" spans="1:13" thickBot="1" x14ac:dyDescent="0.4">
      <c r="A125" s="346"/>
      <c r="B125" s="407"/>
      <c r="C125" s="258">
        <f>SUM(C115:C124)</f>
        <v>15641</v>
      </c>
      <c r="D125" s="258">
        <f>SUM(D115:D124)</f>
        <v>494</v>
      </c>
      <c r="E125" s="566">
        <f>SUM(E115:E124)</f>
        <v>1</v>
      </c>
      <c r="F125" s="566">
        <f>SUM(F115:F124)</f>
        <v>6</v>
      </c>
      <c r="G125" s="566" t="s">
        <v>933</v>
      </c>
      <c r="H125" s="566">
        <f>SUM(H115:H124)</f>
        <v>95</v>
      </c>
      <c r="I125" s="346"/>
      <c r="J125" s="346"/>
      <c r="K125" s="346"/>
      <c r="L125" s="346"/>
      <c r="M125" s="346"/>
    </row>
    <row r="126" spans="1:13" ht="14.5" x14ac:dyDescent="0.35">
      <c r="A126" s="346"/>
      <c r="B126" s="407"/>
      <c r="C126" s="399"/>
      <c r="D126" s="475"/>
      <c r="E126" s="511"/>
      <c r="F126" s="346"/>
      <c r="G126" s="346"/>
      <c r="H126" s="346"/>
      <c r="I126" s="346"/>
      <c r="J126" s="346"/>
      <c r="K126" s="346"/>
      <c r="L126" s="346"/>
      <c r="M126" s="346"/>
    </row>
    <row r="127" spans="1:13" ht="14.5" x14ac:dyDescent="0.35">
      <c r="A127" s="346"/>
      <c r="B127" s="407"/>
      <c r="C127" s="399"/>
      <c r="D127" s="475"/>
      <c r="E127" s="511"/>
      <c r="F127" s="346"/>
      <c r="G127" s="346"/>
      <c r="H127" s="346"/>
      <c r="I127" s="346"/>
      <c r="J127" s="346"/>
      <c r="K127" s="346"/>
      <c r="L127" s="346"/>
      <c r="M127" s="346"/>
    </row>
    <row r="128" spans="1:13" thickBot="1" x14ac:dyDescent="0.4">
      <c r="A128" s="346"/>
      <c r="B128" s="407"/>
      <c r="C128" s="399"/>
      <c r="D128" s="346"/>
      <c r="E128" s="399"/>
      <c r="F128" s="346"/>
      <c r="G128" s="346"/>
      <c r="H128" s="346"/>
      <c r="I128" s="346"/>
      <c r="J128" s="346"/>
      <c r="K128" s="346"/>
      <c r="L128" s="346"/>
      <c r="M128" s="346"/>
    </row>
    <row r="129" spans="1:13" ht="14.5" x14ac:dyDescent="0.35">
      <c r="A129" s="924" t="s">
        <v>85</v>
      </c>
      <c r="B129" s="938"/>
      <c r="C129" s="933" t="s">
        <v>1</v>
      </c>
      <c r="D129" s="944"/>
      <c r="E129" s="945"/>
      <c r="F129" s="346"/>
      <c r="G129" s="346"/>
      <c r="H129" s="346"/>
      <c r="I129" s="346"/>
      <c r="J129" s="346"/>
      <c r="K129" s="346"/>
      <c r="L129" s="346"/>
      <c r="M129" s="346"/>
    </row>
    <row r="130" spans="1:13" thickBot="1" x14ac:dyDescent="0.4">
      <c r="A130" s="939"/>
      <c r="B130" s="940"/>
      <c r="C130" s="946"/>
      <c r="D130" s="947"/>
      <c r="E130" s="949"/>
      <c r="F130" s="346"/>
      <c r="G130" s="346"/>
      <c r="H130" s="346"/>
      <c r="I130" s="346"/>
      <c r="J130" s="346"/>
      <c r="K130" s="346"/>
      <c r="L130" s="346"/>
      <c r="M130" s="346"/>
    </row>
    <row r="131" spans="1:13" ht="16" x14ac:dyDescent="0.4">
      <c r="A131" s="939"/>
      <c r="B131" s="941"/>
      <c r="C131" s="921" t="s">
        <v>88</v>
      </c>
      <c r="D131" s="272" t="s">
        <v>89</v>
      </c>
      <c r="E131" s="273" t="s">
        <v>90</v>
      </c>
      <c r="F131" s="274" t="s">
        <v>91</v>
      </c>
      <c r="G131" s="346"/>
      <c r="H131" s="346"/>
      <c r="I131" s="346"/>
      <c r="J131" s="346"/>
      <c r="K131" s="346"/>
      <c r="L131" s="346"/>
      <c r="M131" s="346"/>
    </row>
    <row r="132" spans="1:13" ht="14.5" x14ac:dyDescent="0.35">
      <c r="A132" s="942"/>
      <c r="B132" s="943"/>
      <c r="C132" s="948"/>
      <c r="D132" s="275" t="s">
        <v>7</v>
      </c>
      <c r="E132" s="276" t="s">
        <v>0</v>
      </c>
      <c r="F132" s="277" t="s">
        <v>0</v>
      </c>
      <c r="G132" s="346"/>
      <c r="H132" s="346"/>
      <c r="I132" s="346"/>
      <c r="J132" s="346"/>
      <c r="K132" s="346"/>
      <c r="L132" s="346"/>
      <c r="M132" s="346"/>
    </row>
    <row r="133" spans="1:13" ht="14.5" x14ac:dyDescent="0.35">
      <c r="A133" s="351" t="s">
        <v>20</v>
      </c>
      <c r="B133" s="352">
        <v>45474</v>
      </c>
      <c r="C133" s="351">
        <v>4370</v>
      </c>
      <c r="D133" s="356">
        <v>10</v>
      </c>
      <c r="E133" s="358">
        <v>0</v>
      </c>
      <c r="F133" s="358">
        <v>0</v>
      </c>
      <c r="G133" s="346"/>
      <c r="H133" s="346"/>
      <c r="I133" s="346"/>
      <c r="J133" s="346"/>
      <c r="K133" s="346"/>
      <c r="L133" s="346"/>
      <c r="M133" s="346"/>
    </row>
    <row r="134" spans="1:13" ht="14.5" x14ac:dyDescent="0.35">
      <c r="A134" s="351" t="s">
        <v>22</v>
      </c>
      <c r="B134" s="352">
        <v>45475</v>
      </c>
      <c r="C134" s="278">
        <v>1025</v>
      </c>
      <c r="D134" s="420">
        <v>17</v>
      </c>
      <c r="E134" s="363">
        <v>0</v>
      </c>
      <c r="F134" s="363">
        <v>1</v>
      </c>
      <c r="G134" s="346"/>
      <c r="H134" s="346"/>
      <c r="I134" s="346"/>
      <c r="J134" s="346"/>
      <c r="K134" s="346"/>
      <c r="L134" s="346"/>
      <c r="M134" s="346"/>
    </row>
    <row r="135" spans="1:13" ht="14.5" x14ac:dyDescent="0.35">
      <c r="A135" s="351" t="s">
        <v>24</v>
      </c>
      <c r="B135" s="352">
        <v>45476</v>
      </c>
      <c r="C135" s="421">
        <v>2545</v>
      </c>
      <c r="D135" s="356">
        <v>7</v>
      </c>
      <c r="E135" s="369">
        <v>0</v>
      </c>
      <c r="F135" s="369">
        <v>0</v>
      </c>
      <c r="G135" s="346"/>
      <c r="H135" s="346"/>
      <c r="I135" s="346"/>
      <c r="J135" s="346"/>
      <c r="K135" s="346"/>
      <c r="L135" s="346"/>
      <c r="M135" s="346"/>
    </row>
    <row r="136" spans="1:13" ht="15.65" customHeight="1" x14ac:dyDescent="0.35">
      <c r="A136" s="351" t="s">
        <v>10</v>
      </c>
      <c r="B136" s="352">
        <v>45477</v>
      </c>
      <c r="C136" s="422"/>
      <c r="D136" s="420"/>
      <c r="E136" s="392"/>
      <c r="F136" s="392"/>
      <c r="G136" s="346"/>
      <c r="H136" s="346"/>
      <c r="I136" s="346"/>
      <c r="J136" s="346"/>
      <c r="K136" s="346"/>
      <c r="L136" s="346"/>
      <c r="M136" s="346"/>
    </row>
    <row r="137" spans="1:13" ht="14.5" x14ac:dyDescent="0.35">
      <c r="A137" s="351" t="s">
        <v>13</v>
      </c>
      <c r="B137" s="352">
        <v>45478</v>
      </c>
      <c r="C137" s="421">
        <v>658</v>
      </c>
      <c r="D137" s="356">
        <v>7</v>
      </c>
      <c r="E137" s="369">
        <v>0</v>
      </c>
      <c r="F137" s="369">
        <v>0</v>
      </c>
      <c r="G137" s="346"/>
      <c r="H137" s="346"/>
      <c r="I137" s="346"/>
      <c r="J137" s="346"/>
      <c r="K137" s="346"/>
      <c r="L137" s="346"/>
      <c r="M137" s="346"/>
    </row>
    <row r="138" spans="1:13" ht="14.5" x14ac:dyDescent="0.35">
      <c r="A138" s="351" t="s">
        <v>16</v>
      </c>
      <c r="B138" s="352">
        <v>45479</v>
      </c>
      <c r="C138" s="423">
        <v>110</v>
      </c>
      <c r="D138" s="420">
        <v>5</v>
      </c>
      <c r="E138" s="363">
        <v>0</v>
      </c>
      <c r="F138" s="363">
        <v>0</v>
      </c>
      <c r="G138" s="346"/>
      <c r="H138" s="346"/>
      <c r="I138" s="346"/>
      <c r="J138" s="346"/>
      <c r="K138" s="346"/>
      <c r="L138" s="346"/>
      <c r="M138" s="346"/>
    </row>
    <row r="139" spans="1:13" ht="14.5" x14ac:dyDescent="0.35">
      <c r="A139" s="351" t="s">
        <v>18</v>
      </c>
      <c r="B139" s="352">
        <v>45480</v>
      </c>
      <c r="C139" s="424"/>
      <c r="D139" s="356"/>
      <c r="E139" s="381"/>
      <c r="F139" s="381"/>
      <c r="G139" s="346"/>
      <c r="H139" s="346"/>
      <c r="I139" s="346"/>
      <c r="J139" s="346"/>
      <c r="K139" s="346"/>
      <c r="L139" s="346"/>
      <c r="M139" s="346"/>
    </row>
    <row r="140" spans="1:13" ht="14.5" x14ac:dyDescent="0.35">
      <c r="A140" s="351" t="s">
        <v>20</v>
      </c>
      <c r="B140" s="352">
        <v>45481</v>
      </c>
      <c r="C140" s="284">
        <v>1780</v>
      </c>
      <c r="D140" s="420">
        <v>11</v>
      </c>
      <c r="E140" s="220">
        <v>0</v>
      </c>
      <c r="F140" s="220">
        <v>0</v>
      </c>
      <c r="G140" s="346"/>
      <c r="H140" s="346"/>
      <c r="I140" s="346"/>
      <c r="J140" s="346"/>
      <c r="K140" s="346"/>
      <c r="L140" s="346"/>
      <c r="M140" s="346"/>
    </row>
    <row r="141" spans="1:13" ht="14.5" x14ac:dyDescent="0.35">
      <c r="A141" s="351" t="s">
        <v>22</v>
      </c>
      <c r="B141" s="352">
        <v>45482</v>
      </c>
      <c r="C141" s="285">
        <v>2475</v>
      </c>
      <c r="D141" s="356">
        <v>28</v>
      </c>
      <c r="E141" s="224">
        <v>0</v>
      </c>
      <c r="F141" s="224">
        <v>3</v>
      </c>
      <c r="G141" s="346"/>
      <c r="H141" s="346"/>
      <c r="I141" s="346"/>
      <c r="J141" s="346"/>
      <c r="K141" s="346"/>
      <c r="L141" s="346"/>
      <c r="M141" s="346"/>
    </row>
    <row r="142" spans="1:13" ht="14.5" x14ac:dyDescent="0.35">
      <c r="A142" s="351" t="s">
        <v>24</v>
      </c>
      <c r="B142" s="352">
        <v>45483</v>
      </c>
      <c r="C142" s="285">
        <v>4071</v>
      </c>
      <c r="D142" s="420">
        <v>20</v>
      </c>
      <c r="E142" s="228">
        <v>0</v>
      </c>
      <c r="F142" s="228">
        <v>0</v>
      </c>
      <c r="G142" s="346"/>
      <c r="H142" s="346"/>
      <c r="I142" s="346"/>
      <c r="J142" s="346"/>
      <c r="K142" s="346"/>
      <c r="L142" s="346"/>
      <c r="M142" s="346"/>
    </row>
    <row r="143" spans="1:13" ht="14.5" x14ac:dyDescent="0.35">
      <c r="A143" s="351" t="s">
        <v>10</v>
      </c>
      <c r="B143" s="352">
        <v>45484</v>
      </c>
      <c r="C143" s="285">
        <v>2718</v>
      </c>
      <c r="D143" s="356">
        <v>20</v>
      </c>
      <c r="E143" s="232">
        <v>0</v>
      </c>
      <c r="F143" s="232">
        <v>1</v>
      </c>
      <c r="G143" s="346"/>
      <c r="H143" s="346"/>
      <c r="I143" s="346"/>
      <c r="J143" s="346"/>
      <c r="K143" s="346"/>
      <c r="L143" s="346"/>
      <c r="M143" s="346"/>
    </row>
    <row r="144" spans="1:13" ht="14.5" x14ac:dyDescent="0.35">
      <c r="A144" s="351" t="s">
        <v>13</v>
      </c>
      <c r="B144" s="352">
        <v>45485</v>
      </c>
      <c r="C144" s="285">
        <v>920</v>
      </c>
      <c r="D144" s="420">
        <v>18</v>
      </c>
      <c r="E144" s="228">
        <v>0</v>
      </c>
      <c r="F144" s="228">
        <v>2</v>
      </c>
      <c r="G144" s="346"/>
      <c r="H144" s="346"/>
      <c r="I144" s="346"/>
      <c r="J144" s="346"/>
      <c r="K144" s="346"/>
      <c r="L144" s="346"/>
      <c r="M144" s="346"/>
    </row>
    <row r="145" spans="1:13" ht="14.5" x14ac:dyDescent="0.35">
      <c r="A145" s="351" t="s">
        <v>16</v>
      </c>
      <c r="B145" s="352">
        <v>45486</v>
      </c>
      <c r="C145" s="285">
        <v>540</v>
      </c>
      <c r="D145" s="356">
        <v>16</v>
      </c>
      <c r="E145" s="385">
        <v>0</v>
      </c>
      <c r="F145" s="385">
        <v>2</v>
      </c>
      <c r="G145" s="346"/>
      <c r="H145" s="346"/>
      <c r="I145" s="346"/>
      <c r="J145" s="346"/>
      <c r="K145" s="346"/>
      <c r="L145" s="346"/>
      <c r="M145" s="346"/>
    </row>
    <row r="146" spans="1:13" ht="14.5" x14ac:dyDescent="0.35">
      <c r="A146" s="351" t="s">
        <v>18</v>
      </c>
      <c r="B146" s="352">
        <v>45487</v>
      </c>
      <c r="C146" s="285"/>
      <c r="D146" s="420"/>
      <c r="E146" s="228"/>
      <c r="F146" s="228"/>
      <c r="G146" s="346"/>
      <c r="H146" s="346"/>
      <c r="I146" s="346"/>
      <c r="J146" s="346"/>
      <c r="K146" s="346"/>
      <c r="L146" s="346"/>
      <c r="M146" s="346"/>
    </row>
    <row r="147" spans="1:13" ht="14.5" x14ac:dyDescent="0.35">
      <c r="A147" s="351" t="s">
        <v>20</v>
      </c>
      <c r="B147" s="352">
        <v>45488</v>
      </c>
      <c r="C147" s="285">
        <v>1907</v>
      </c>
      <c r="D147" s="356">
        <v>12</v>
      </c>
      <c r="E147" s="385">
        <v>0</v>
      </c>
      <c r="F147" s="385">
        <v>0</v>
      </c>
      <c r="G147" s="346"/>
      <c r="H147" s="346"/>
      <c r="I147" s="346"/>
      <c r="J147" s="346"/>
      <c r="K147" s="346"/>
      <c r="L147" s="346"/>
      <c r="M147" s="346"/>
    </row>
    <row r="148" spans="1:13" ht="14.5" x14ac:dyDescent="0.35">
      <c r="A148" s="351" t="s">
        <v>22</v>
      </c>
      <c r="B148" s="352">
        <v>45489</v>
      </c>
      <c r="C148" s="285">
        <v>3744</v>
      </c>
      <c r="D148" s="420">
        <v>25</v>
      </c>
      <c r="E148" s="363">
        <v>0</v>
      </c>
      <c r="F148" s="363">
        <v>1</v>
      </c>
      <c r="G148" s="346"/>
      <c r="H148" s="346"/>
      <c r="I148" s="346"/>
      <c r="J148" s="346"/>
      <c r="K148" s="346"/>
      <c r="L148" s="346"/>
      <c r="M148" s="346"/>
    </row>
    <row r="149" spans="1:13" ht="14.5" x14ac:dyDescent="0.35">
      <c r="A149" s="351" t="s">
        <v>24</v>
      </c>
      <c r="B149" s="352">
        <v>45490</v>
      </c>
      <c r="C149" s="285">
        <v>1211</v>
      </c>
      <c r="D149" s="425">
        <v>20</v>
      </c>
      <c r="E149" s="385">
        <v>0</v>
      </c>
      <c r="F149" s="385">
        <v>0</v>
      </c>
      <c r="G149" s="346"/>
      <c r="H149" s="346"/>
      <c r="I149" s="346"/>
      <c r="J149" s="346"/>
      <c r="K149" s="346"/>
      <c r="L149" s="346"/>
      <c r="M149" s="346"/>
    </row>
    <row r="150" spans="1:13" ht="14.5" x14ac:dyDescent="0.35">
      <c r="A150" s="351" t="s">
        <v>10</v>
      </c>
      <c r="B150" s="352">
        <v>45491</v>
      </c>
      <c r="C150" s="285">
        <v>5924</v>
      </c>
      <c r="D150" s="426">
        <v>24</v>
      </c>
      <c r="E150" s="390">
        <v>0</v>
      </c>
      <c r="F150" s="390">
        <v>0</v>
      </c>
      <c r="G150" s="346"/>
      <c r="H150" s="346"/>
      <c r="I150" s="346"/>
      <c r="J150" s="346"/>
      <c r="K150" s="346"/>
      <c r="L150" s="346"/>
      <c r="M150" s="346"/>
    </row>
    <row r="151" spans="1:13" ht="14.5" x14ac:dyDescent="0.35">
      <c r="A151" s="351" t="s">
        <v>13</v>
      </c>
      <c r="B151" s="352">
        <v>45492</v>
      </c>
      <c r="C151" s="285">
        <v>1259</v>
      </c>
      <c r="D151" s="427">
        <v>20</v>
      </c>
      <c r="E151" s="381">
        <v>0</v>
      </c>
      <c r="F151" s="381">
        <v>0</v>
      </c>
      <c r="G151" s="346"/>
      <c r="H151" s="346"/>
      <c r="I151" s="346"/>
      <c r="J151" s="346"/>
      <c r="K151" s="346"/>
      <c r="L151" s="346"/>
      <c r="M151" s="346"/>
    </row>
    <row r="152" spans="1:13" ht="14.5" x14ac:dyDescent="0.35">
      <c r="A152" s="351" t="s">
        <v>16</v>
      </c>
      <c r="B152" s="352">
        <v>45493</v>
      </c>
      <c r="C152" s="285">
        <v>410</v>
      </c>
      <c r="D152" s="426">
        <v>10</v>
      </c>
      <c r="E152" s="390">
        <v>0</v>
      </c>
      <c r="F152" s="390">
        <v>1</v>
      </c>
      <c r="G152" s="346"/>
      <c r="H152" s="346"/>
      <c r="I152" s="346"/>
      <c r="J152" s="346"/>
      <c r="K152" s="346"/>
      <c r="L152" s="346"/>
      <c r="M152" s="346"/>
    </row>
    <row r="153" spans="1:13" ht="14.5" x14ac:dyDescent="0.35">
      <c r="A153" s="351" t="s">
        <v>18</v>
      </c>
      <c r="B153" s="352">
        <v>45494</v>
      </c>
      <c r="C153" s="285"/>
      <c r="D153" s="425"/>
      <c r="E153" s="369"/>
      <c r="F153" s="369"/>
      <c r="G153" s="346"/>
      <c r="H153" s="346"/>
      <c r="I153" s="346"/>
      <c r="J153" s="346"/>
      <c r="K153" s="346"/>
      <c r="L153" s="346"/>
      <c r="M153" s="346"/>
    </row>
    <row r="154" spans="1:13" ht="14.5" x14ac:dyDescent="0.35">
      <c r="A154" s="351" t="s">
        <v>20</v>
      </c>
      <c r="B154" s="352">
        <v>45495</v>
      </c>
      <c r="C154" s="285">
        <v>1584</v>
      </c>
      <c r="D154" s="426">
        <v>16</v>
      </c>
      <c r="E154" s="392">
        <v>0</v>
      </c>
      <c r="F154" s="392">
        <v>1</v>
      </c>
      <c r="G154" s="346"/>
      <c r="H154" s="346"/>
      <c r="I154" s="346"/>
      <c r="J154" s="346"/>
      <c r="K154" s="346"/>
      <c r="L154" s="346"/>
      <c r="M154" s="346"/>
    </row>
    <row r="155" spans="1:13" ht="14.5" x14ac:dyDescent="0.35">
      <c r="A155" s="351" t="s">
        <v>22</v>
      </c>
      <c r="B155" s="352">
        <v>45496</v>
      </c>
      <c r="C155" s="285">
        <v>2409</v>
      </c>
      <c r="D155" s="425">
        <v>30</v>
      </c>
      <c r="E155" s="385">
        <v>0</v>
      </c>
      <c r="F155" s="385">
        <v>0</v>
      </c>
      <c r="G155" s="346"/>
      <c r="H155" s="346"/>
      <c r="I155" s="346"/>
      <c r="J155" s="346"/>
      <c r="K155" s="346"/>
      <c r="L155" s="346"/>
      <c r="M155" s="346"/>
    </row>
    <row r="156" spans="1:13" ht="14.5" x14ac:dyDescent="0.35">
      <c r="A156" s="351" t="s">
        <v>24</v>
      </c>
      <c r="B156" s="352">
        <v>45497</v>
      </c>
      <c r="C156" s="285">
        <v>3374</v>
      </c>
      <c r="D156" s="426">
        <v>23</v>
      </c>
      <c r="E156" s="390">
        <v>0</v>
      </c>
      <c r="F156" s="390">
        <v>0</v>
      </c>
      <c r="G156" s="346"/>
      <c r="H156" s="346"/>
      <c r="I156" s="346"/>
      <c r="J156" s="346"/>
      <c r="K156" s="346"/>
      <c r="L156" s="346"/>
      <c r="M156" s="346"/>
    </row>
    <row r="157" spans="1:13" ht="14.5" x14ac:dyDescent="0.35">
      <c r="A157" s="351" t="s">
        <v>10</v>
      </c>
      <c r="B157" s="352">
        <v>45498</v>
      </c>
      <c r="C157" s="285">
        <v>3043</v>
      </c>
      <c r="D157" s="425">
        <v>25</v>
      </c>
      <c r="E157" s="385">
        <v>0</v>
      </c>
      <c r="F157" s="385">
        <v>0</v>
      </c>
      <c r="G157" s="346"/>
      <c r="H157" s="346"/>
      <c r="I157" s="346"/>
      <c r="J157" s="346"/>
      <c r="K157" s="346"/>
      <c r="L157" s="346"/>
      <c r="M157" s="346"/>
    </row>
    <row r="158" spans="1:13" ht="14.5" x14ac:dyDescent="0.35">
      <c r="A158" s="351" t="s">
        <v>13</v>
      </c>
      <c r="B158" s="352">
        <v>45499</v>
      </c>
      <c r="C158" s="428">
        <v>4674</v>
      </c>
      <c r="D158" s="426">
        <v>19</v>
      </c>
      <c r="E158" s="392">
        <v>0</v>
      </c>
      <c r="F158" s="392">
        <v>0</v>
      </c>
      <c r="G158" s="346"/>
      <c r="H158" s="346"/>
      <c r="I158" s="346"/>
      <c r="J158" s="346"/>
      <c r="K158" s="346"/>
      <c r="L158" s="346"/>
      <c r="M158" s="346"/>
    </row>
    <row r="159" spans="1:13" ht="14.5" x14ac:dyDescent="0.35">
      <c r="A159" s="351" t="s">
        <v>16</v>
      </c>
      <c r="B159" s="352">
        <v>45500</v>
      </c>
      <c r="C159" s="429">
        <v>300</v>
      </c>
      <c r="D159" s="425">
        <v>10</v>
      </c>
      <c r="E159" s="381">
        <v>0</v>
      </c>
      <c r="F159" s="381">
        <v>0</v>
      </c>
      <c r="G159" s="346"/>
      <c r="H159" s="346"/>
      <c r="I159" s="346"/>
      <c r="J159" s="346"/>
      <c r="K159" s="346"/>
      <c r="L159" s="346"/>
      <c r="M159" s="346"/>
    </row>
    <row r="160" spans="1:13" ht="14.5" x14ac:dyDescent="0.35">
      <c r="A160" s="351" t="s">
        <v>18</v>
      </c>
      <c r="B160" s="352">
        <v>45501</v>
      </c>
      <c r="C160" s="430"/>
      <c r="D160" s="426"/>
      <c r="E160" s="363"/>
      <c r="F160" s="363"/>
      <c r="G160" s="346"/>
      <c r="H160" s="346"/>
      <c r="I160" s="346"/>
      <c r="J160" s="346"/>
      <c r="K160" s="346"/>
      <c r="L160" s="346"/>
      <c r="M160" s="346"/>
    </row>
    <row r="161" spans="1:14" ht="14.5" x14ac:dyDescent="0.35">
      <c r="A161" s="351" t="s">
        <v>20</v>
      </c>
      <c r="B161" s="352">
        <v>45502</v>
      </c>
      <c r="C161" s="429">
        <v>2117</v>
      </c>
      <c r="D161" s="425">
        <v>10</v>
      </c>
      <c r="E161" s="381">
        <v>0</v>
      </c>
      <c r="F161" s="381">
        <v>0</v>
      </c>
      <c r="G161" s="346"/>
      <c r="H161" s="346"/>
      <c r="I161" s="346"/>
      <c r="J161" s="346"/>
      <c r="K161" s="346"/>
      <c r="L161" s="346"/>
      <c r="M161" s="346"/>
    </row>
    <row r="162" spans="1:14" ht="14.5" x14ac:dyDescent="0.35">
      <c r="A162" s="351" t="s">
        <v>22</v>
      </c>
      <c r="B162" s="352">
        <v>45503</v>
      </c>
      <c r="C162" s="430">
        <v>3394</v>
      </c>
      <c r="D162" s="426">
        <v>34</v>
      </c>
      <c r="E162" s="363">
        <v>0</v>
      </c>
      <c r="F162" s="363">
        <v>0</v>
      </c>
      <c r="G162" s="346"/>
      <c r="H162" s="346"/>
      <c r="I162" s="346"/>
      <c r="J162" s="346"/>
      <c r="K162" s="346"/>
      <c r="L162" s="346"/>
      <c r="M162" s="346"/>
    </row>
    <row r="163" spans="1:14" thickBot="1" x14ac:dyDescent="0.4">
      <c r="A163" s="351" t="s">
        <v>24</v>
      </c>
      <c r="B163" s="352">
        <v>45504</v>
      </c>
      <c r="C163" s="431">
        <v>326</v>
      </c>
      <c r="D163" s="432">
        <v>20</v>
      </c>
      <c r="E163" s="417">
        <v>0</v>
      </c>
      <c r="F163" s="417">
        <v>0</v>
      </c>
      <c r="G163" s="346"/>
      <c r="H163" s="346"/>
      <c r="I163" s="346"/>
      <c r="J163" s="346"/>
      <c r="K163" s="346"/>
      <c r="L163" s="346"/>
      <c r="M163" s="346"/>
    </row>
    <row r="164" spans="1:14" ht="14.5" x14ac:dyDescent="0.35">
      <c r="A164" s="406"/>
      <c r="B164" s="418"/>
      <c r="C164" s="294">
        <f>SUM(C133:C163)</f>
        <v>56888</v>
      </c>
      <c r="D164" s="295">
        <f>SUM(D133:D163)</f>
        <v>457</v>
      </c>
      <c r="E164" s="296">
        <f>SUM(E133:E163)</f>
        <v>0</v>
      </c>
      <c r="F164" s="297">
        <f>SUM(F133:F163)</f>
        <v>12</v>
      </c>
      <c r="G164" s="346"/>
      <c r="H164" s="346"/>
      <c r="I164" s="346"/>
      <c r="J164" s="346"/>
      <c r="K164" s="346"/>
      <c r="L164" s="346"/>
      <c r="M164" s="346"/>
    </row>
    <row r="165" spans="1:14" ht="14.5" x14ac:dyDescent="0.35">
      <c r="A165" s="346"/>
      <c r="B165" s="407"/>
      <c r="C165" s="399"/>
      <c r="D165" s="346"/>
      <c r="E165" s="399"/>
      <c r="F165" s="399"/>
      <c r="G165" s="346"/>
      <c r="H165" s="346"/>
      <c r="I165" s="346"/>
      <c r="J165" s="346"/>
      <c r="K165" s="346"/>
      <c r="L165" s="346"/>
      <c r="M165" s="346"/>
    </row>
    <row r="166" spans="1:14" ht="14.5" x14ac:dyDescent="0.35">
      <c r="A166" s="346"/>
      <c r="B166" s="433"/>
      <c r="C166" s="399"/>
      <c r="D166" s="346"/>
      <c r="E166" s="399"/>
      <c r="F166" s="346"/>
      <c r="G166" s="346"/>
      <c r="H166" s="346"/>
      <c r="I166" s="346"/>
      <c r="J166" s="346"/>
      <c r="K166" s="346"/>
      <c r="L166" s="346"/>
      <c r="M166" s="346"/>
    </row>
    <row r="167" spans="1:14" thickBot="1" x14ac:dyDescent="0.4">
      <c r="A167" s="346"/>
      <c r="B167" s="346"/>
      <c r="C167" s="511"/>
      <c r="D167" s="511"/>
      <c r="E167" s="475"/>
      <c r="F167" s="511"/>
      <c r="G167" s="511"/>
      <c r="H167" s="346"/>
      <c r="I167" s="346"/>
      <c r="J167" s="346"/>
      <c r="K167" s="346"/>
      <c r="L167" s="346"/>
      <c r="M167" s="346"/>
    </row>
    <row r="168" spans="1:14" ht="14.5" x14ac:dyDescent="0.35">
      <c r="A168" s="520"/>
      <c r="B168" s="521" t="s">
        <v>105</v>
      </c>
      <c r="C168" s="522" t="s">
        <v>93</v>
      </c>
      <c r="D168" s="511"/>
      <c r="E168" s="511"/>
      <c r="F168" s="511"/>
      <c r="G168" s="511"/>
      <c r="H168" s="518" t="s">
        <v>111</v>
      </c>
      <c r="I168" s="518" t="s">
        <v>112</v>
      </c>
      <c r="J168" s="518" t="s">
        <v>113</v>
      </c>
      <c r="K168" s="518" t="s">
        <v>114</v>
      </c>
      <c r="L168" s="518" t="s">
        <v>103</v>
      </c>
      <c r="M168" s="519" t="s">
        <v>104</v>
      </c>
      <c r="N168" s="342" t="s">
        <v>98</v>
      </c>
    </row>
    <row r="169" spans="1:14" ht="14.5" x14ac:dyDescent="0.35">
      <c r="A169" s="434" t="s">
        <v>99</v>
      </c>
      <c r="B169" s="468">
        <f>C35/26*26</f>
        <v>72545</v>
      </c>
      <c r="C169" s="465">
        <f>B169-72000</f>
        <v>545</v>
      </c>
      <c r="D169" s="435"/>
      <c r="E169" s="436"/>
      <c r="F169" s="399"/>
      <c r="G169" s="346"/>
      <c r="H169" s="437">
        <v>59678</v>
      </c>
      <c r="I169" s="525">
        <v>65325</v>
      </c>
      <c r="J169" s="526">
        <v>71363</v>
      </c>
      <c r="K169" s="526">
        <v>75374</v>
      </c>
      <c r="L169" s="437">
        <v>72600</v>
      </c>
      <c r="M169" s="528">
        <v>72030</v>
      </c>
      <c r="N169" s="438">
        <f>AVERAGE(H169:M169)</f>
        <v>69395</v>
      </c>
    </row>
    <row r="170" spans="1:14" ht="14.5" x14ac:dyDescent="0.35">
      <c r="A170" s="439" t="s">
        <v>37</v>
      </c>
      <c r="B170" s="468">
        <f>C74/26*26</f>
        <v>54821</v>
      </c>
      <c r="C170" s="465">
        <f>B170-53000</f>
        <v>1821</v>
      </c>
      <c r="D170" s="435"/>
      <c r="E170" s="436"/>
      <c r="F170" s="399"/>
      <c r="G170" s="346"/>
      <c r="H170" s="437">
        <v>43365</v>
      </c>
      <c r="I170" s="525">
        <v>38287</v>
      </c>
      <c r="J170" s="526">
        <v>45858</v>
      </c>
      <c r="K170" s="526">
        <v>55612</v>
      </c>
      <c r="L170" s="437">
        <v>53980</v>
      </c>
      <c r="M170" s="528">
        <v>49420</v>
      </c>
      <c r="N170" s="438">
        <f>AVERAGE(H170:M170)</f>
        <v>47753.666666666664</v>
      </c>
    </row>
    <row r="171" spans="1:14" ht="14.5" x14ac:dyDescent="0.35">
      <c r="A171" s="439" t="s">
        <v>100</v>
      </c>
      <c r="B171" s="469">
        <f>C110/26*26</f>
        <v>51390</v>
      </c>
      <c r="C171" s="470">
        <f>B171-56000</f>
        <v>-4610</v>
      </c>
      <c r="D171" s="435"/>
      <c r="E171" s="436"/>
      <c r="F171" s="399"/>
      <c r="G171" s="346"/>
      <c r="H171" s="437">
        <v>43344</v>
      </c>
      <c r="I171" s="525">
        <v>54088</v>
      </c>
      <c r="J171" s="526">
        <v>56961</v>
      </c>
      <c r="K171" s="526">
        <v>56144</v>
      </c>
      <c r="L171" s="437">
        <v>54118</v>
      </c>
      <c r="M171" s="528">
        <v>58320</v>
      </c>
      <c r="N171" s="438">
        <f>AVERAGE(H171:M171)</f>
        <v>53829.166666666664</v>
      </c>
    </row>
    <row r="172" spans="1:14" ht="14.5" x14ac:dyDescent="0.35">
      <c r="A172" s="463" t="s">
        <v>70</v>
      </c>
      <c r="B172" s="469">
        <f>C125/9*9</f>
        <v>15641</v>
      </c>
      <c r="C172" s="465">
        <f>B172-15000</f>
        <v>641</v>
      </c>
      <c r="D172" s="435"/>
      <c r="E172" s="436"/>
      <c r="F172" s="399"/>
      <c r="G172" s="346"/>
      <c r="H172" s="464"/>
      <c r="I172" s="530"/>
      <c r="J172" s="531"/>
      <c r="K172" s="531"/>
      <c r="L172" s="464"/>
      <c r="M172" s="533"/>
      <c r="N172" s="438"/>
    </row>
    <row r="173" spans="1:14" thickBot="1" x14ac:dyDescent="0.4">
      <c r="A173" s="440" t="s">
        <v>88</v>
      </c>
      <c r="B173" s="468">
        <f>C164/26*26</f>
        <v>56888</v>
      </c>
      <c r="C173" s="534"/>
      <c r="D173" s="346"/>
      <c r="E173" s="399"/>
      <c r="F173" s="346"/>
      <c r="G173" s="346"/>
      <c r="H173" s="437">
        <v>34063</v>
      </c>
      <c r="I173" s="525">
        <v>44190</v>
      </c>
      <c r="J173" s="526">
        <v>32129</v>
      </c>
      <c r="K173" s="526">
        <v>67460</v>
      </c>
      <c r="L173" s="437">
        <v>57984</v>
      </c>
      <c r="M173" s="528">
        <v>47444</v>
      </c>
      <c r="N173" s="438">
        <f>AVERAGE(H173:M173)</f>
        <v>47211.666666666664</v>
      </c>
    </row>
    <row r="174" spans="1:14" thickBot="1" x14ac:dyDescent="0.4">
      <c r="A174" s="441" t="s">
        <v>101</v>
      </c>
      <c r="B174" s="442">
        <f>SUM(B169:B173)</f>
        <v>251285</v>
      </c>
      <c r="C174" s="471">
        <f>SUM(C169:C173)</f>
        <v>-1603</v>
      </c>
      <c r="D174" s="346"/>
      <c r="E174" s="346"/>
      <c r="F174" s="346"/>
      <c r="G174" s="346"/>
      <c r="H174" s="443">
        <v>180450</v>
      </c>
      <c r="I174" s="443">
        <f>SUM(I169:I173)</f>
        <v>201890</v>
      </c>
      <c r="J174" s="443">
        <f>SUM(J169:J173)</f>
        <v>206311</v>
      </c>
      <c r="K174" s="443">
        <f>SUM(K169:K173)</f>
        <v>254590</v>
      </c>
      <c r="L174" s="443">
        <f>SUM(L169:L173)</f>
        <v>238682</v>
      </c>
      <c r="M174" s="443">
        <f>SUM(M169:M173)</f>
        <v>227214</v>
      </c>
    </row>
    <row r="175" spans="1:14" ht="14.5" x14ac:dyDescent="0.35">
      <c r="B175" s="444">
        <f>B174/26</f>
        <v>9664.8076923076915</v>
      </c>
      <c r="C175" s="445"/>
      <c r="H175" s="446">
        <f>H174/27</f>
        <v>6683.333333333333</v>
      </c>
      <c r="I175" s="446">
        <f>I174/25</f>
        <v>8075.6</v>
      </c>
      <c r="J175" s="446">
        <f>J174/26</f>
        <v>7935.0384615384619</v>
      </c>
      <c r="K175" s="446">
        <f>K174/26</f>
        <v>9791.9230769230762</v>
      </c>
      <c r="L175" s="446">
        <f>L174/26</f>
        <v>9180.0769230769238</v>
      </c>
      <c r="M175" s="446">
        <f>M174/25</f>
        <v>9088.56</v>
      </c>
    </row>
    <row r="176" spans="1:14" ht="14.5" x14ac:dyDescent="0.35">
      <c r="A176" s="346"/>
      <c r="B176" s="346"/>
      <c r="C176" s="346"/>
      <c r="D176" s="346"/>
      <c r="E176" s="346"/>
      <c r="F176" s="346"/>
      <c r="G176" s="346"/>
      <c r="H176" s="346"/>
      <c r="I176" s="346"/>
      <c r="J176" s="346"/>
      <c r="K176" s="346"/>
      <c r="L176" s="346"/>
      <c r="M176" s="346"/>
    </row>
    <row r="177" spans="1:14" ht="14.5" x14ac:dyDescent="0.35">
      <c r="A177" s="447" t="s">
        <v>102</v>
      </c>
      <c r="B177" s="447" t="s">
        <v>118</v>
      </c>
      <c r="C177" s="447" t="s">
        <v>119</v>
      </c>
      <c r="D177" s="447" t="s">
        <v>120</v>
      </c>
      <c r="E177" s="447" t="s">
        <v>121</v>
      </c>
      <c r="F177" s="447" t="s">
        <v>122</v>
      </c>
      <c r="G177" s="448" t="s">
        <v>123</v>
      </c>
      <c r="H177" s="447" t="s">
        <v>124</v>
      </c>
      <c r="I177" s="447" t="s">
        <v>125</v>
      </c>
      <c r="J177" s="447" t="s">
        <v>126</v>
      </c>
      <c r="K177" s="447" t="s">
        <v>127</v>
      </c>
      <c r="L177" s="447" t="s">
        <v>116</v>
      </c>
      <c r="M177" s="448" t="s">
        <v>117</v>
      </c>
      <c r="N177" s="342"/>
    </row>
    <row r="178" spans="1:14" ht="14.5" x14ac:dyDescent="0.35">
      <c r="A178" s="449" t="s">
        <v>99</v>
      </c>
      <c r="B178" s="449">
        <v>73973</v>
      </c>
      <c r="C178" s="449">
        <v>63776</v>
      </c>
      <c r="D178" s="449">
        <v>62209</v>
      </c>
      <c r="E178" s="449">
        <v>61961</v>
      </c>
      <c r="F178" s="449">
        <v>62927</v>
      </c>
      <c r="G178" s="450">
        <v>50792</v>
      </c>
      <c r="H178" s="449">
        <v>55786</v>
      </c>
      <c r="I178" s="449">
        <v>48081</v>
      </c>
      <c r="J178" s="449">
        <v>66142</v>
      </c>
      <c r="K178" s="449">
        <v>58127</v>
      </c>
      <c r="L178" s="449">
        <v>74979</v>
      </c>
      <c r="M178" s="450">
        <v>63950</v>
      </c>
      <c r="N178" s="438">
        <f>AVERAGE(B178:M178)</f>
        <v>61891.916666666664</v>
      </c>
    </row>
    <row r="179" spans="1:14" ht="14.5" x14ac:dyDescent="0.35">
      <c r="A179" s="449" t="s">
        <v>37</v>
      </c>
      <c r="B179" s="449">
        <v>58612</v>
      </c>
      <c r="C179" s="449">
        <v>59247</v>
      </c>
      <c r="D179" s="449">
        <v>49882</v>
      </c>
      <c r="E179" s="449">
        <v>42564</v>
      </c>
      <c r="F179" s="449">
        <v>44217</v>
      </c>
      <c r="G179" s="450">
        <v>42911</v>
      </c>
      <c r="H179" s="449">
        <v>40388</v>
      </c>
      <c r="I179" s="449">
        <v>32034</v>
      </c>
      <c r="J179" s="449">
        <v>38086</v>
      </c>
      <c r="K179" s="449">
        <v>42706</v>
      </c>
      <c r="L179" s="449">
        <v>48870</v>
      </c>
      <c r="M179" s="450">
        <v>44783</v>
      </c>
      <c r="N179" s="438">
        <f>AVERAGE(B179:M179)</f>
        <v>45358.333333333336</v>
      </c>
    </row>
    <row r="180" spans="1:14" ht="14.5" x14ac:dyDescent="0.35">
      <c r="A180" s="449" t="s">
        <v>100</v>
      </c>
      <c r="B180" s="449">
        <v>48432</v>
      </c>
      <c r="C180" s="449">
        <v>45807</v>
      </c>
      <c r="D180" s="449">
        <v>47219</v>
      </c>
      <c r="E180" s="449">
        <v>49140</v>
      </c>
      <c r="F180" s="449">
        <v>45889</v>
      </c>
      <c r="G180" s="450">
        <v>42002</v>
      </c>
      <c r="H180" s="449">
        <v>29164</v>
      </c>
      <c r="I180" s="449">
        <v>24425</v>
      </c>
      <c r="J180" s="449">
        <v>32384</v>
      </c>
      <c r="K180" s="449">
        <v>26635</v>
      </c>
      <c r="L180" s="449">
        <v>38487</v>
      </c>
      <c r="M180" s="450">
        <v>41827</v>
      </c>
      <c r="N180" s="438">
        <f>AVERAGE(B180:M180)</f>
        <v>39284.25</v>
      </c>
    </row>
    <row r="181" spans="1:14" ht="14.5" x14ac:dyDescent="0.35">
      <c r="A181" s="449" t="s">
        <v>88</v>
      </c>
      <c r="B181" s="449">
        <v>102728</v>
      </c>
      <c r="C181" s="449">
        <v>102029</v>
      </c>
      <c r="D181" s="449">
        <v>73495</v>
      </c>
      <c r="E181" s="449">
        <v>77358</v>
      </c>
      <c r="F181" s="449">
        <v>75185</v>
      </c>
      <c r="G181" s="450">
        <v>62889</v>
      </c>
      <c r="H181" s="449">
        <v>78647</v>
      </c>
      <c r="I181" s="449">
        <v>71233</v>
      </c>
      <c r="J181" s="449">
        <v>80881</v>
      </c>
      <c r="K181" s="449">
        <v>89693</v>
      </c>
      <c r="L181" s="449">
        <v>115741.16666666666</v>
      </c>
      <c r="M181" s="450">
        <v>92550</v>
      </c>
      <c r="N181" s="438">
        <f>AVERAGE(B181:M181)</f>
        <v>85202.430555555547</v>
      </c>
    </row>
    <row r="182" spans="1:14" ht="14.5" x14ac:dyDescent="0.35">
      <c r="A182" s="451" t="s">
        <v>101</v>
      </c>
      <c r="B182" s="452">
        <v>283745</v>
      </c>
      <c r="C182" s="452">
        <v>270859</v>
      </c>
      <c r="D182" s="452">
        <v>232805</v>
      </c>
      <c r="E182" s="452">
        <v>231023</v>
      </c>
      <c r="F182" s="452">
        <v>228218</v>
      </c>
      <c r="G182" s="453">
        <v>198594</v>
      </c>
      <c r="H182" s="452">
        <v>203985</v>
      </c>
      <c r="I182" s="452">
        <v>175773</v>
      </c>
      <c r="J182" s="452">
        <v>217493</v>
      </c>
      <c r="K182" s="452">
        <v>217161</v>
      </c>
      <c r="L182" s="452">
        <f>SUM(L178:L181)</f>
        <v>278077.16666666663</v>
      </c>
      <c r="M182" s="452">
        <f>SUM(M178:M181)</f>
        <v>243110</v>
      </c>
    </row>
    <row r="183" spans="1:14" ht="14.5" x14ac:dyDescent="0.35">
      <c r="A183" s="545" t="s">
        <v>607</v>
      </c>
      <c r="B183" s="454"/>
      <c r="C183" s="454"/>
      <c r="D183" s="454"/>
      <c r="E183" s="454"/>
      <c r="F183" s="454"/>
      <c r="G183" s="454"/>
      <c r="H183" s="454"/>
      <c r="I183" s="454"/>
      <c r="J183" s="454"/>
      <c r="K183" s="454"/>
      <c r="L183" s="555"/>
      <c r="M183" s="454"/>
    </row>
    <row r="184" spans="1:14" ht="14.5" x14ac:dyDescent="0.35"/>
    <row r="185" spans="1:14" ht="14.5" x14ac:dyDescent="0.35">
      <c r="A185" s="447" t="s">
        <v>102</v>
      </c>
      <c r="B185" s="447" t="s">
        <v>130</v>
      </c>
      <c r="C185" s="447" t="s">
        <v>131</v>
      </c>
      <c r="D185" s="447" t="s">
        <v>132</v>
      </c>
      <c r="E185" s="447" t="s">
        <v>133</v>
      </c>
      <c r="F185" s="447" t="s">
        <v>134</v>
      </c>
      <c r="G185" s="448" t="s">
        <v>135</v>
      </c>
      <c r="H185" s="546" t="s">
        <v>136</v>
      </c>
      <c r="I185" s="447" t="s">
        <v>137</v>
      </c>
      <c r="J185" s="447" t="s">
        <v>138</v>
      </c>
      <c r="K185" s="447" t="s">
        <v>139</v>
      </c>
      <c r="L185" s="447" t="s">
        <v>128</v>
      </c>
      <c r="M185" s="448" t="s">
        <v>129</v>
      </c>
      <c r="N185" s="342"/>
    </row>
    <row r="186" spans="1:14" ht="14.5" x14ac:dyDescent="0.35">
      <c r="A186" s="455" t="s">
        <v>99</v>
      </c>
      <c r="B186" s="456">
        <v>61519</v>
      </c>
      <c r="C186" s="456">
        <v>70743</v>
      </c>
      <c r="D186" s="457">
        <v>55027</v>
      </c>
      <c r="E186" s="457">
        <v>54932</v>
      </c>
      <c r="F186" s="457">
        <v>43776</v>
      </c>
      <c r="G186" s="458">
        <v>49810</v>
      </c>
      <c r="H186" s="525">
        <v>75616</v>
      </c>
      <c r="I186" s="456">
        <v>68029</v>
      </c>
      <c r="J186" s="456">
        <v>59606</v>
      </c>
      <c r="K186" s="456">
        <v>63396</v>
      </c>
      <c r="L186" s="456">
        <v>52819.21</v>
      </c>
      <c r="M186" s="459">
        <v>53324</v>
      </c>
      <c r="N186" s="460">
        <f>AVERAGE(B186:M186)</f>
        <v>59049.767499999994</v>
      </c>
    </row>
    <row r="187" spans="1:14" ht="14.5" x14ac:dyDescent="0.35">
      <c r="A187" s="455" t="s">
        <v>37</v>
      </c>
      <c r="B187" s="456">
        <v>41717</v>
      </c>
      <c r="C187" s="456">
        <v>40181</v>
      </c>
      <c r="D187" s="457">
        <v>41079</v>
      </c>
      <c r="E187" s="457">
        <v>39875</v>
      </c>
      <c r="F187" s="457">
        <v>35835</v>
      </c>
      <c r="G187" s="458">
        <v>28946</v>
      </c>
      <c r="H187" s="525">
        <v>43422</v>
      </c>
      <c r="I187" s="456">
        <v>35147</v>
      </c>
      <c r="J187" s="456">
        <v>37370</v>
      </c>
      <c r="K187" s="456">
        <v>39971</v>
      </c>
      <c r="L187" s="456">
        <v>33459.82</v>
      </c>
      <c r="M187" s="459">
        <v>39860</v>
      </c>
      <c r="N187" s="460">
        <f>AVERAGE(B187:M187)</f>
        <v>38071.901666666665</v>
      </c>
    </row>
    <row r="188" spans="1:14" ht="14.5" x14ac:dyDescent="0.35">
      <c r="A188" s="455" t="s">
        <v>100</v>
      </c>
      <c r="B188" s="456">
        <v>13788</v>
      </c>
      <c r="C188" s="456">
        <v>17451</v>
      </c>
      <c r="D188" s="457">
        <v>20924</v>
      </c>
      <c r="E188" s="457">
        <v>23756</v>
      </c>
      <c r="F188" s="457">
        <v>18015</v>
      </c>
      <c r="G188" s="458">
        <v>15778</v>
      </c>
      <c r="H188" s="546" t="s">
        <v>140</v>
      </c>
      <c r="I188" s="447"/>
      <c r="J188" s="447"/>
      <c r="K188" s="456">
        <v>3428</v>
      </c>
      <c r="L188" s="456">
        <v>13471.49</v>
      </c>
      <c r="M188" s="459">
        <v>12544</v>
      </c>
      <c r="N188" s="460">
        <f>AVERAGE(B188:M188)</f>
        <v>15461.72111111111</v>
      </c>
    </row>
    <row r="189" spans="1:14" ht="14.5" x14ac:dyDescent="0.35">
      <c r="A189" s="455" t="s">
        <v>88</v>
      </c>
      <c r="B189" s="456">
        <v>44347</v>
      </c>
      <c r="C189" s="456">
        <v>72570</v>
      </c>
      <c r="D189" s="457">
        <v>89947</v>
      </c>
      <c r="E189" s="457">
        <v>99078</v>
      </c>
      <c r="F189" s="457">
        <v>75226</v>
      </c>
      <c r="G189" s="458">
        <v>76874</v>
      </c>
      <c r="H189" s="525">
        <v>51000</v>
      </c>
      <c r="I189" s="456">
        <v>41240</v>
      </c>
      <c r="J189" s="456">
        <v>47352</v>
      </c>
      <c r="K189" s="456">
        <v>49038</v>
      </c>
      <c r="L189" s="456">
        <v>21042</v>
      </c>
      <c r="M189" s="459">
        <v>35748</v>
      </c>
      <c r="N189" s="460"/>
    </row>
    <row r="190" spans="1:14" ht="14.5" x14ac:dyDescent="0.35">
      <c r="A190" s="451" t="s">
        <v>101</v>
      </c>
      <c r="B190" s="461">
        <f>SUM(B186:B189)</f>
        <v>161371</v>
      </c>
      <c r="C190" s="461">
        <f>SUM(C186:C189)</f>
        <v>200945</v>
      </c>
      <c r="D190" s="452">
        <v>206977</v>
      </c>
      <c r="E190" s="452">
        <v>217641</v>
      </c>
      <c r="F190" s="452">
        <v>172852</v>
      </c>
      <c r="G190" s="453">
        <v>171408</v>
      </c>
      <c r="H190" s="553">
        <v>170038</v>
      </c>
      <c r="I190" s="461">
        <f>SUM(I186:I189)</f>
        <v>144416</v>
      </c>
      <c r="J190" s="461">
        <f>SUM(J186:J189)</f>
        <v>144328</v>
      </c>
      <c r="K190" s="461">
        <f>SUM(K186:K189)</f>
        <v>155833</v>
      </c>
      <c r="L190" s="461">
        <f>SUM(L186:L189)</f>
        <v>120792.52</v>
      </c>
      <c r="M190" s="461">
        <f>SUM(M186:M189)</f>
        <v>141476</v>
      </c>
    </row>
    <row r="191" spans="1:14" ht="14.5" x14ac:dyDescent="0.35"/>
    <row r="192" spans="1:14" ht="14.5" x14ac:dyDescent="0.35"/>
    <row r="193" ht="14.5" x14ac:dyDescent="0.35"/>
    <row r="194" ht="14.5" x14ac:dyDescent="0.35"/>
    <row r="195" ht="14.5" x14ac:dyDescent="0.35"/>
  </sheetData>
  <mergeCells count="16">
    <mergeCell ref="B77:B78"/>
    <mergeCell ref="C77:C78"/>
    <mergeCell ref="K78:L78"/>
    <mergeCell ref="A129:B132"/>
    <mergeCell ref="C129:E130"/>
    <mergeCell ref="C131:C132"/>
    <mergeCell ref="B113:B114"/>
    <mergeCell ref="C113:C114"/>
    <mergeCell ref="K114:L114"/>
    <mergeCell ref="B1:F1"/>
    <mergeCell ref="B2:B3"/>
    <mergeCell ref="C2:C3"/>
    <mergeCell ref="K4:L4"/>
    <mergeCell ref="B41:B42"/>
    <mergeCell ref="C41:C42"/>
    <mergeCell ref="K41:L41"/>
  </mergeCells>
  <phoneticPr fontId="19" type="noConversion"/>
  <conditionalFormatting sqref="A5:B34 C6:H34">
    <cfRule type="expression" dxfId="27" priority="6">
      <formula>ISODD(ROW())</formula>
    </cfRule>
  </conditionalFormatting>
  <conditionalFormatting sqref="A79:F109 G105 G106:H106 H107 G108:H109">
    <cfRule type="expression" dxfId="26" priority="8">
      <formula>ISEVEN(ROW())</formula>
    </cfRule>
  </conditionalFormatting>
  <conditionalFormatting sqref="A4:H4">
    <cfRule type="expression" dxfId="25" priority="5">
      <formula>ISODD(ROW())</formula>
    </cfRule>
  </conditionalFormatting>
  <conditionalFormatting sqref="A43:H73">
    <cfRule type="expression" dxfId="24" priority="4">
      <formula>ISEVEN(ROW())</formula>
    </cfRule>
  </conditionalFormatting>
  <conditionalFormatting sqref="A115:H124">
    <cfRule type="expression" dxfId="23" priority="1">
      <formula>ISEVEN(ROW())</formula>
    </cfRule>
  </conditionalFormatting>
  <conditionalFormatting sqref="C5:F5">
    <cfRule type="expression" dxfId="22" priority="7">
      <formula>ISEVEN(ROW())</formula>
    </cfRule>
  </conditionalFormatting>
  <conditionalFormatting sqref="G5:H5 A133:F163">
    <cfRule type="expression" dxfId="21" priority="9">
      <formula>ISODD(ROW())</formula>
    </cfRule>
  </conditionalFormatting>
  <conditionalFormatting sqref="G79:H104">
    <cfRule type="expression" dxfId="20" priority="3">
      <formula>ISEVEN(ROW())</formula>
    </cfRule>
  </conditionalFormatting>
  <conditionalFormatting sqref="M2:M16 M18:M21 M27:M32 M34:M35 K37:K39 N41:N43 N49:N60 M55:M59 M65:M68 N65:N74 N77:N110 M111:M132 H129:H166">
    <cfRule type="cellIs" dxfId="19" priority="10" operator="greaterThan">
      <formula>0</formula>
    </cfRule>
    <cfRule type="cellIs" dxfId="18" priority="1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5A90-77B9-48AD-B738-A460A9914039}">
  <sheetPr>
    <tabColor theme="9" tint="0.39997558519241921"/>
  </sheetPr>
  <dimension ref="A1:N174"/>
  <sheetViews>
    <sheetView topLeftCell="A66" workbookViewId="0">
      <selection activeCell="A78" sqref="A77:H110"/>
    </sheetView>
  </sheetViews>
  <sheetFormatPr defaultRowHeight="15" customHeight="1" x14ac:dyDescent="0.35"/>
  <cols>
    <col min="1" max="1" width="18.453125" customWidth="1"/>
    <col min="2" max="2" width="21" customWidth="1"/>
    <col min="3" max="3" width="16.453125" customWidth="1"/>
    <col min="4" max="4" width="16.1796875" customWidth="1"/>
    <col min="5" max="5" width="22.453125" customWidth="1"/>
    <col min="6" max="6" width="19.81640625" customWidth="1"/>
    <col min="7" max="7" width="16.453125" customWidth="1"/>
    <col min="8" max="8" width="13" customWidth="1"/>
    <col min="9" max="9" width="12.1796875" bestFit="1" customWidth="1"/>
    <col min="10" max="10" width="15.81640625" bestFit="1" customWidth="1"/>
    <col min="11" max="11" width="14.453125" bestFit="1" customWidth="1"/>
    <col min="12" max="12" width="12.453125" customWidth="1"/>
    <col min="13" max="13" width="17.453125" customWidth="1"/>
    <col min="14" max="14" width="16.453125" customWidth="1"/>
  </cols>
  <sheetData>
    <row r="1" spans="1:14" ht="17.5" customHeight="1" thickBot="1" x14ac:dyDescent="0.4">
      <c r="A1" s="1"/>
      <c r="B1" s="950" t="s">
        <v>0</v>
      </c>
      <c r="C1" s="950"/>
      <c r="D1" s="950"/>
      <c r="E1" s="950"/>
      <c r="F1" s="950"/>
      <c r="G1" s="1"/>
      <c r="H1" s="1"/>
      <c r="I1" s="1"/>
      <c r="J1" s="1"/>
      <c r="K1" s="1"/>
      <c r="L1" s="1"/>
      <c r="M1" s="1"/>
    </row>
    <row r="2" spans="1:14" ht="15.65" customHeight="1" x14ac:dyDescent="0.4">
      <c r="A2" s="2"/>
      <c r="B2" s="926" t="s">
        <v>1</v>
      </c>
      <c r="C2" s="935" t="s">
        <v>0</v>
      </c>
      <c r="D2" s="298" t="s">
        <v>2</v>
      </c>
      <c r="E2" s="184" t="s">
        <v>3</v>
      </c>
      <c r="F2" s="185" t="s">
        <v>143</v>
      </c>
      <c r="G2" s="186" t="s">
        <v>6</v>
      </c>
      <c r="H2" s="187" t="s">
        <v>7</v>
      </c>
      <c r="I2" s="7"/>
      <c r="J2" s="7"/>
      <c r="K2" s="7"/>
      <c r="L2" s="7"/>
      <c r="M2" s="7"/>
      <c r="N2" s="7"/>
    </row>
    <row r="3" spans="1:14" ht="30.75" customHeight="1" x14ac:dyDescent="0.35">
      <c r="A3" s="8"/>
      <c r="B3" s="934"/>
      <c r="C3" s="936"/>
      <c r="D3" s="299" t="s">
        <v>0</v>
      </c>
      <c r="E3" s="188" t="s">
        <v>0</v>
      </c>
      <c r="F3" s="191" t="s">
        <v>0</v>
      </c>
      <c r="G3" s="189" t="s">
        <v>8</v>
      </c>
      <c r="H3" s="190" t="s">
        <v>9</v>
      </c>
      <c r="I3" s="1"/>
      <c r="J3" s="1"/>
      <c r="K3" s="1"/>
      <c r="L3" s="1"/>
      <c r="M3" s="1"/>
      <c r="N3" s="1"/>
    </row>
    <row r="4" spans="1:14" ht="14.5" x14ac:dyDescent="0.35">
      <c r="A4" s="192" t="s">
        <v>16</v>
      </c>
      <c r="B4" s="193">
        <v>45444</v>
      </c>
      <c r="C4" s="194">
        <v>1853</v>
      </c>
      <c r="D4" s="195">
        <v>144</v>
      </c>
      <c r="E4" s="196">
        <v>0</v>
      </c>
      <c r="F4" s="197">
        <v>1</v>
      </c>
      <c r="G4" s="198" t="s">
        <v>1021</v>
      </c>
      <c r="H4" s="199">
        <v>13</v>
      </c>
      <c r="I4" s="1"/>
      <c r="J4" s="1"/>
      <c r="K4" s="951" t="s">
        <v>12</v>
      </c>
      <c r="L4" s="951"/>
      <c r="M4" s="1"/>
      <c r="N4" s="1"/>
    </row>
    <row r="5" spans="1:14" ht="14.5" x14ac:dyDescent="0.35">
      <c r="A5" s="192" t="s">
        <v>18</v>
      </c>
      <c r="B5" s="193">
        <v>45445</v>
      </c>
      <c r="C5" s="200"/>
      <c r="D5" s="201"/>
      <c r="E5" s="202"/>
      <c r="F5" s="202"/>
      <c r="G5" s="203"/>
      <c r="H5" s="204"/>
      <c r="I5" s="1"/>
      <c r="J5" s="1"/>
      <c r="K5" s="24" t="s">
        <v>15</v>
      </c>
      <c r="L5" s="25">
        <v>70000</v>
      </c>
      <c r="M5" s="1"/>
      <c r="N5" s="1"/>
    </row>
    <row r="6" spans="1:14" ht="14.5" x14ac:dyDescent="0.35">
      <c r="A6" s="192" t="s">
        <v>20</v>
      </c>
      <c r="B6" s="193">
        <v>45446</v>
      </c>
      <c r="C6" s="205">
        <v>4771</v>
      </c>
      <c r="D6" s="206">
        <v>87</v>
      </c>
      <c r="E6" s="207">
        <v>1</v>
      </c>
      <c r="F6" s="207">
        <v>3</v>
      </c>
      <c r="G6" s="207" t="s">
        <v>1022</v>
      </c>
      <c r="H6" s="208">
        <v>17</v>
      </c>
      <c r="I6" s="1"/>
      <c r="J6" s="1"/>
      <c r="K6" s="30" t="s">
        <v>17</v>
      </c>
      <c r="L6" s="31">
        <v>3000</v>
      </c>
      <c r="M6" s="1"/>
      <c r="N6" s="1"/>
    </row>
    <row r="7" spans="1:14" ht="14.5" x14ac:dyDescent="0.35">
      <c r="A7" s="192" t="s">
        <v>22</v>
      </c>
      <c r="B7" s="193">
        <v>45447</v>
      </c>
      <c r="C7" s="209">
        <v>4075</v>
      </c>
      <c r="D7" s="210">
        <v>201</v>
      </c>
      <c r="E7" s="211">
        <v>0</v>
      </c>
      <c r="F7" s="211">
        <v>2</v>
      </c>
      <c r="G7" s="211" t="s">
        <v>1023</v>
      </c>
      <c r="H7" s="208">
        <v>21</v>
      </c>
      <c r="I7" s="1"/>
      <c r="J7" s="1"/>
      <c r="K7" s="35" t="s">
        <v>3</v>
      </c>
      <c r="L7" s="36">
        <v>30</v>
      </c>
      <c r="M7" s="1"/>
      <c r="N7" s="1"/>
    </row>
    <row r="8" spans="1:14" ht="14.5" x14ac:dyDescent="0.35">
      <c r="A8" s="192" t="s">
        <v>24</v>
      </c>
      <c r="B8" s="193">
        <v>45448</v>
      </c>
      <c r="C8" s="205">
        <v>1820</v>
      </c>
      <c r="D8" s="206">
        <v>0</v>
      </c>
      <c r="E8" s="207">
        <v>0</v>
      </c>
      <c r="F8" s="207">
        <v>0</v>
      </c>
      <c r="G8" s="207" t="s">
        <v>1024</v>
      </c>
      <c r="H8" s="208">
        <v>8</v>
      </c>
      <c r="I8" s="1"/>
      <c r="J8" s="1"/>
      <c r="K8" s="1"/>
      <c r="L8" s="1"/>
      <c r="M8" s="1"/>
      <c r="N8" s="1"/>
    </row>
    <row r="9" spans="1:14" ht="14.5" x14ac:dyDescent="0.35">
      <c r="A9" s="192" t="s">
        <v>10</v>
      </c>
      <c r="B9" s="193">
        <v>45449</v>
      </c>
      <c r="C9" s="212">
        <v>2405</v>
      </c>
      <c r="D9" s="213">
        <v>127</v>
      </c>
      <c r="E9" s="203">
        <v>0</v>
      </c>
      <c r="F9" s="203">
        <v>6</v>
      </c>
      <c r="G9" s="207" t="s">
        <v>1025</v>
      </c>
      <c r="H9" s="204">
        <v>15</v>
      </c>
      <c r="I9" s="1"/>
      <c r="J9" s="1"/>
      <c r="K9" s="1"/>
      <c r="L9" s="1"/>
      <c r="M9" s="1"/>
      <c r="N9" s="1"/>
    </row>
    <row r="10" spans="1:14" ht="14.5" x14ac:dyDescent="0.35">
      <c r="A10" s="192" t="s">
        <v>13</v>
      </c>
      <c r="B10" s="193">
        <v>45450</v>
      </c>
      <c r="C10" s="214">
        <v>3085</v>
      </c>
      <c r="D10" s="195">
        <v>119</v>
      </c>
      <c r="E10" s="215">
        <v>1</v>
      </c>
      <c r="F10" s="215">
        <v>1</v>
      </c>
      <c r="G10" s="215" t="s">
        <v>1026</v>
      </c>
      <c r="H10" s="216">
        <v>21</v>
      </c>
      <c r="I10" s="1"/>
      <c r="J10" s="1"/>
      <c r="K10" s="1"/>
      <c r="L10" s="1"/>
      <c r="M10" s="1"/>
      <c r="N10" s="1"/>
    </row>
    <row r="11" spans="1:14" ht="14.5" x14ac:dyDescent="0.35">
      <c r="A11" s="192" t="s">
        <v>16</v>
      </c>
      <c r="B11" s="193">
        <v>45451</v>
      </c>
      <c r="C11" s="217">
        <v>3612</v>
      </c>
      <c r="D11" s="218">
        <v>148</v>
      </c>
      <c r="E11" s="219">
        <v>0</v>
      </c>
      <c r="F11" s="219">
        <v>3</v>
      </c>
      <c r="G11" s="219" t="s">
        <v>1027</v>
      </c>
      <c r="H11" s="220">
        <v>25</v>
      </c>
      <c r="I11" s="1"/>
      <c r="J11" s="1"/>
      <c r="K11" s="1"/>
      <c r="L11" s="1"/>
      <c r="M11" s="1"/>
      <c r="N11" s="1"/>
    </row>
    <row r="12" spans="1:14" ht="14.5" x14ac:dyDescent="0.35">
      <c r="A12" s="192" t="s">
        <v>18</v>
      </c>
      <c r="B12" s="193">
        <v>45452</v>
      </c>
      <c r="C12" s="221"/>
      <c r="D12" s="222"/>
      <c r="E12" s="223"/>
      <c r="F12" s="223"/>
      <c r="G12" s="223"/>
      <c r="H12" s="224"/>
      <c r="I12" s="1"/>
      <c r="J12" s="1"/>
      <c r="K12" s="1"/>
      <c r="L12" s="1"/>
      <c r="M12" s="1"/>
      <c r="N12" s="1"/>
    </row>
    <row r="13" spans="1:14" ht="14.5" x14ac:dyDescent="0.35">
      <c r="A13" s="192" t="s">
        <v>20</v>
      </c>
      <c r="B13" s="193">
        <v>45453</v>
      </c>
      <c r="C13" s="225">
        <v>4108</v>
      </c>
      <c r="D13" s="226">
        <v>54</v>
      </c>
      <c r="E13" s="227">
        <v>0</v>
      </c>
      <c r="F13" s="227">
        <v>1</v>
      </c>
      <c r="G13" s="227" t="s">
        <v>1028</v>
      </c>
      <c r="H13" s="228">
        <v>25</v>
      </c>
      <c r="I13" s="1"/>
      <c r="J13" s="1"/>
      <c r="K13" s="1"/>
      <c r="L13" s="1"/>
      <c r="M13" s="1"/>
      <c r="N13" s="1"/>
    </row>
    <row r="14" spans="1:14" ht="14.5" x14ac:dyDescent="0.35">
      <c r="A14" s="192" t="s">
        <v>22</v>
      </c>
      <c r="B14" s="193">
        <v>45454</v>
      </c>
      <c r="C14" s="229">
        <v>1671</v>
      </c>
      <c r="D14" s="230">
        <v>90</v>
      </c>
      <c r="E14" s="231">
        <v>0</v>
      </c>
      <c r="F14" s="231">
        <v>4</v>
      </c>
      <c r="G14" s="231" t="s">
        <v>1029</v>
      </c>
      <c r="H14" s="232">
        <v>16</v>
      </c>
      <c r="I14" s="1"/>
      <c r="J14" s="1"/>
      <c r="K14" s="1"/>
      <c r="L14" s="1"/>
      <c r="M14" s="1"/>
      <c r="N14" s="1"/>
    </row>
    <row r="15" spans="1:14" ht="14.5" x14ac:dyDescent="0.35">
      <c r="A15" s="192" t="s">
        <v>24</v>
      </c>
      <c r="B15" s="193">
        <v>45455</v>
      </c>
      <c r="C15" s="225">
        <v>3635</v>
      </c>
      <c r="D15" s="226">
        <v>112</v>
      </c>
      <c r="E15" s="227">
        <v>0</v>
      </c>
      <c r="F15" s="227">
        <v>5</v>
      </c>
      <c r="G15" s="227" t="s">
        <v>1030</v>
      </c>
      <c r="H15" s="228">
        <v>19</v>
      </c>
      <c r="I15" s="1"/>
      <c r="J15" s="1"/>
      <c r="K15" s="1"/>
      <c r="L15" s="1"/>
      <c r="M15" s="1"/>
      <c r="N15" s="1"/>
    </row>
    <row r="16" spans="1:14" ht="14.5" x14ac:dyDescent="0.35">
      <c r="A16" s="192" t="s">
        <v>10</v>
      </c>
      <c r="B16" s="193">
        <v>45456</v>
      </c>
      <c r="C16" s="233">
        <v>2207</v>
      </c>
      <c r="D16" s="234">
        <v>0</v>
      </c>
      <c r="E16" s="235">
        <v>1</v>
      </c>
      <c r="F16" s="235">
        <v>2</v>
      </c>
      <c r="G16" s="235" t="s">
        <v>1031</v>
      </c>
      <c r="H16" s="236">
        <v>15</v>
      </c>
      <c r="I16" s="1"/>
      <c r="J16" s="1"/>
      <c r="K16" s="1"/>
      <c r="L16" s="1"/>
      <c r="M16" s="1"/>
      <c r="N16" s="1"/>
    </row>
    <row r="17" spans="1:14" ht="14.5" x14ac:dyDescent="0.35">
      <c r="A17" s="192" t="s">
        <v>13</v>
      </c>
      <c r="B17" s="193">
        <v>45457</v>
      </c>
      <c r="C17" s="225">
        <v>2716</v>
      </c>
      <c r="D17" s="226">
        <v>159</v>
      </c>
      <c r="E17" s="227">
        <v>1</v>
      </c>
      <c r="F17" s="227">
        <v>6</v>
      </c>
      <c r="G17" s="227" t="s">
        <v>1032</v>
      </c>
      <c r="H17" s="228">
        <v>15</v>
      </c>
      <c r="I17" s="60"/>
      <c r="J17" s="1"/>
      <c r="K17" s="1"/>
      <c r="L17" s="1"/>
      <c r="M17" s="1"/>
      <c r="N17" s="1"/>
    </row>
    <row r="18" spans="1:14" ht="14.5" x14ac:dyDescent="0.35">
      <c r="A18" s="192" t="s">
        <v>16</v>
      </c>
      <c r="B18" s="193">
        <v>45458</v>
      </c>
      <c r="C18" s="233">
        <v>2735</v>
      </c>
      <c r="D18" s="195">
        <v>162</v>
      </c>
      <c r="E18" s="215">
        <v>2</v>
      </c>
      <c r="F18" s="215">
        <v>6</v>
      </c>
      <c r="G18" s="215" t="s">
        <v>1033</v>
      </c>
      <c r="H18" s="216">
        <v>24</v>
      </c>
      <c r="I18" s="1"/>
      <c r="J18" s="1"/>
      <c r="K18" s="1"/>
      <c r="L18" s="1"/>
      <c r="M18" s="1"/>
      <c r="N18" s="1"/>
    </row>
    <row r="19" spans="1:14" ht="14.5" x14ac:dyDescent="0.35">
      <c r="A19" s="192" t="s">
        <v>18</v>
      </c>
      <c r="B19" s="193">
        <v>45459</v>
      </c>
      <c r="C19" s="209"/>
      <c r="D19" s="213"/>
      <c r="E19" s="203"/>
      <c r="F19" s="203"/>
      <c r="G19" s="203"/>
      <c r="H19" s="204"/>
      <c r="I19" s="61"/>
      <c r="J19" s="1"/>
      <c r="K19" s="1"/>
      <c r="L19" s="1"/>
      <c r="M19" s="1"/>
      <c r="N19" s="1"/>
    </row>
    <row r="20" spans="1:14" ht="14.5" x14ac:dyDescent="0.35">
      <c r="A20" s="192" t="s">
        <v>20</v>
      </c>
      <c r="B20" s="193">
        <v>45460</v>
      </c>
      <c r="C20" s="233">
        <v>2843</v>
      </c>
      <c r="D20" s="234">
        <v>54</v>
      </c>
      <c r="E20" s="215">
        <v>0</v>
      </c>
      <c r="F20" s="215">
        <v>2</v>
      </c>
      <c r="G20" s="235" t="s">
        <v>1034</v>
      </c>
      <c r="H20" s="216">
        <v>25</v>
      </c>
      <c r="I20" s="1"/>
      <c r="J20" s="1"/>
      <c r="K20" s="1"/>
      <c r="L20" s="1"/>
      <c r="M20" s="1"/>
      <c r="N20" s="1"/>
    </row>
    <row r="21" spans="1:14" ht="14.5" x14ac:dyDescent="0.35">
      <c r="A21" s="192" t="s">
        <v>22</v>
      </c>
      <c r="B21" s="193">
        <v>45461</v>
      </c>
      <c r="C21" s="237">
        <v>1771</v>
      </c>
      <c r="D21" s="238">
        <v>83</v>
      </c>
      <c r="E21" s="239">
        <v>0</v>
      </c>
      <c r="F21" s="239">
        <v>6</v>
      </c>
      <c r="G21" s="239" t="s">
        <v>1035</v>
      </c>
      <c r="H21" s="240">
        <v>21</v>
      </c>
      <c r="I21" s="66"/>
      <c r="J21" s="1"/>
      <c r="K21" s="1"/>
      <c r="L21" s="1"/>
      <c r="M21" s="1"/>
      <c r="N21" s="1"/>
    </row>
    <row r="22" spans="1:14" ht="14.5" x14ac:dyDescent="0.35">
      <c r="A22" s="192" t="s">
        <v>24</v>
      </c>
      <c r="B22" s="193">
        <v>45462</v>
      </c>
      <c r="C22" s="214">
        <v>1456</v>
      </c>
      <c r="D22" s="195">
        <v>87</v>
      </c>
      <c r="E22" s="215">
        <v>0</v>
      </c>
      <c r="F22" s="215">
        <v>3</v>
      </c>
      <c r="G22" s="215" t="s">
        <v>1036</v>
      </c>
      <c r="H22" s="216">
        <v>23</v>
      </c>
      <c r="I22" s="67"/>
      <c r="J22" s="1"/>
      <c r="K22" s="1"/>
      <c r="L22" s="1"/>
      <c r="M22" s="1"/>
      <c r="N22" s="1"/>
    </row>
    <row r="23" spans="1:14" ht="14.5" x14ac:dyDescent="0.35">
      <c r="A23" s="192" t="s">
        <v>10</v>
      </c>
      <c r="B23" s="193">
        <v>45463</v>
      </c>
      <c r="C23" s="237">
        <v>2453</v>
      </c>
      <c r="D23" s="238">
        <v>104</v>
      </c>
      <c r="E23" s="239">
        <v>0</v>
      </c>
      <c r="F23" s="239">
        <v>1</v>
      </c>
      <c r="G23" s="215" t="s">
        <v>1037</v>
      </c>
      <c r="H23" s="240">
        <v>16</v>
      </c>
      <c r="I23" s="66"/>
      <c r="J23" s="1"/>
      <c r="K23" s="1"/>
      <c r="L23" s="1"/>
      <c r="M23" s="1"/>
      <c r="N23" s="1"/>
    </row>
    <row r="24" spans="1:14" ht="14.5" x14ac:dyDescent="0.35">
      <c r="A24" s="192" t="s">
        <v>13</v>
      </c>
      <c r="B24" s="193">
        <v>45464</v>
      </c>
      <c r="C24" s="205">
        <v>1023</v>
      </c>
      <c r="D24" s="206">
        <v>83</v>
      </c>
      <c r="E24" s="207">
        <v>0</v>
      </c>
      <c r="F24" s="207">
        <v>3</v>
      </c>
      <c r="G24" s="207" t="s">
        <v>1038</v>
      </c>
      <c r="H24" s="208">
        <v>17</v>
      </c>
      <c r="I24" s="66"/>
      <c r="J24" s="1"/>
      <c r="K24" s="1"/>
      <c r="L24" s="1"/>
      <c r="M24" s="1"/>
      <c r="N24" s="1"/>
    </row>
    <row r="25" spans="1:14" ht="14.5" x14ac:dyDescent="0.35">
      <c r="A25" s="192" t="s">
        <v>16</v>
      </c>
      <c r="B25" s="193">
        <v>45465</v>
      </c>
      <c r="C25" s="209">
        <v>2221</v>
      </c>
      <c r="D25" s="210">
        <v>0</v>
      </c>
      <c r="E25" s="211">
        <v>0</v>
      </c>
      <c r="F25" s="211">
        <v>5</v>
      </c>
      <c r="G25" s="211" t="s">
        <v>1039</v>
      </c>
      <c r="H25" s="241">
        <v>26</v>
      </c>
      <c r="I25" s="1"/>
      <c r="J25" s="1"/>
      <c r="K25" s="1"/>
      <c r="L25" s="1"/>
      <c r="M25" s="1"/>
      <c r="N25" s="1"/>
    </row>
    <row r="26" spans="1:14" ht="14.5" x14ac:dyDescent="0.35">
      <c r="A26" s="192" t="s">
        <v>18</v>
      </c>
      <c r="B26" s="193">
        <v>45466</v>
      </c>
      <c r="C26" s="233"/>
      <c r="D26" s="234"/>
      <c r="E26" s="235"/>
      <c r="F26" s="235"/>
      <c r="G26" s="235"/>
      <c r="H26" s="236"/>
      <c r="I26" s="1"/>
      <c r="J26" s="1"/>
      <c r="K26" s="1"/>
      <c r="L26" s="1"/>
      <c r="M26" s="1"/>
      <c r="N26" s="1"/>
    </row>
    <row r="27" spans="1:14" ht="14.5" x14ac:dyDescent="0.35">
      <c r="A27" s="192" t="s">
        <v>20</v>
      </c>
      <c r="B27" s="193">
        <v>45467</v>
      </c>
      <c r="C27" s="237">
        <v>3192</v>
      </c>
      <c r="D27" s="238">
        <v>50</v>
      </c>
      <c r="E27" s="239">
        <v>0</v>
      </c>
      <c r="F27" s="239">
        <v>2</v>
      </c>
      <c r="G27" s="239" t="s">
        <v>1040</v>
      </c>
      <c r="H27" s="240">
        <v>23</v>
      </c>
      <c r="I27" s="66"/>
      <c r="J27" s="1"/>
      <c r="K27" s="1"/>
      <c r="L27" s="1"/>
      <c r="M27" s="1"/>
      <c r="N27" s="1"/>
    </row>
    <row r="28" spans="1:14" ht="14.5" x14ac:dyDescent="0.35">
      <c r="A28" s="192" t="s">
        <v>22</v>
      </c>
      <c r="B28" s="193">
        <v>45468</v>
      </c>
      <c r="C28" s="233">
        <v>3867</v>
      </c>
      <c r="D28" s="234">
        <v>50</v>
      </c>
      <c r="E28" s="235">
        <v>0</v>
      </c>
      <c r="F28" s="235">
        <v>5</v>
      </c>
      <c r="G28" s="235" t="s">
        <v>1041</v>
      </c>
      <c r="H28" s="236">
        <v>20</v>
      </c>
      <c r="I28" s="1"/>
      <c r="J28" s="1"/>
      <c r="K28" s="1"/>
      <c r="L28" s="1"/>
      <c r="M28" s="1"/>
      <c r="N28" s="1"/>
    </row>
    <row r="29" spans="1:14" ht="14.5" x14ac:dyDescent="0.35">
      <c r="A29" s="192" t="s">
        <v>24</v>
      </c>
      <c r="B29" s="193">
        <v>45469</v>
      </c>
      <c r="C29" s="209">
        <v>6485</v>
      </c>
      <c r="D29" s="242">
        <v>65</v>
      </c>
      <c r="E29" s="243">
        <v>0</v>
      </c>
      <c r="F29" s="244">
        <v>4</v>
      </c>
      <c r="G29" s="211" t="s">
        <v>1042</v>
      </c>
      <c r="H29" s="241">
        <v>15</v>
      </c>
      <c r="I29" s="1"/>
      <c r="J29" s="1"/>
      <c r="K29" s="1"/>
      <c r="L29" s="1"/>
      <c r="M29" s="1"/>
      <c r="N29" s="1"/>
    </row>
    <row r="30" spans="1:14" ht="14.5" x14ac:dyDescent="0.35">
      <c r="A30" s="192" t="s">
        <v>10</v>
      </c>
      <c r="B30" s="193">
        <v>45470</v>
      </c>
      <c r="C30" s="214">
        <v>2268</v>
      </c>
      <c r="D30" s="245">
        <v>79</v>
      </c>
      <c r="E30" s="246">
        <v>0</v>
      </c>
      <c r="F30" s="247">
        <v>7</v>
      </c>
      <c r="G30" s="246" t="s">
        <v>1043</v>
      </c>
      <c r="H30" s="248">
        <v>18</v>
      </c>
      <c r="I30" s="67"/>
      <c r="J30" s="1"/>
      <c r="K30" s="1"/>
      <c r="L30" s="72"/>
      <c r="M30" s="1"/>
      <c r="N30" s="1"/>
    </row>
    <row r="31" spans="1:14" ht="14.5" x14ac:dyDescent="0.35">
      <c r="A31" s="192" t="s">
        <v>13</v>
      </c>
      <c r="B31" s="193">
        <v>45471</v>
      </c>
      <c r="C31" s="214">
        <v>2805</v>
      </c>
      <c r="D31" s="249">
        <v>50</v>
      </c>
      <c r="E31" s="246">
        <v>0</v>
      </c>
      <c r="F31" s="247">
        <v>2</v>
      </c>
      <c r="G31" s="246" t="s">
        <v>1044</v>
      </c>
      <c r="H31" s="248">
        <v>19</v>
      </c>
      <c r="I31" s="67"/>
      <c r="J31" s="1"/>
      <c r="K31" s="1"/>
      <c r="L31" s="72"/>
      <c r="M31" s="1"/>
      <c r="N31" s="1"/>
    </row>
    <row r="32" spans="1:14" ht="14.5" x14ac:dyDescent="0.35">
      <c r="A32" s="192" t="s">
        <v>16</v>
      </c>
      <c r="B32" s="193">
        <v>45472</v>
      </c>
      <c r="C32" s="214">
        <v>2953</v>
      </c>
      <c r="D32" s="249">
        <v>0</v>
      </c>
      <c r="E32" s="246">
        <v>0</v>
      </c>
      <c r="F32" s="247">
        <v>0</v>
      </c>
      <c r="G32" s="250" t="s">
        <v>1045</v>
      </c>
      <c r="H32" s="251">
        <v>16</v>
      </c>
      <c r="I32" s="67"/>
      <c r="J32" s="1"/>
      <c r="K32" s="1"/>
      <c r="L32" s="72"/>
      <c r="M32" s="1"/>
      <c r="N32" s="1"/>
    </row>
    <row r="33" spans="1:14" ht="14.5" x14ac:dyDescent="0.35">
      <c r="A33" s="192" t="s">
        <v>18</v>
      </c>
      <c r="B33" s="193">
        <v>45473</v>
      </c>
      <c r="C33" s="252"/>
      <c r="D33" s="253"/>
      <c r="E33" s="246"/>
      <c r="F33" s="254"/>
      <c r="G33" s="246"/>
      <c r="H33" s="198"/>
      <c r="I33" s="1"/>
      <c r="J33" s="1"/>
      <c r="K33" s="1"/>
      <c r="L33" s="1"/>
      <c r="M33" s="1"/>
      <c r="N33" s="1"/>
    </row>
    <row r="34" spans="1:14" ht="14.5" x14ac:dyDescent="0.35">
      <c r="A34" s="192" t="s">
        <v>20</v>
      </c>
      <c r="B34" s="193">
        <v>45474</v>
      </c>
      <c r="C34" s="255"/>
      <c r="D34" s="255"/>
      <c r="E34" s="198"/>
      <c r="F34" s="198"/>
      <c r="G34" s="198" t="s">
        <v>942</v>
      </c>
      <c r="H34" s="256"/>
      <c r="I34" s="67"/>
      <c r="J34" s="1"/>
      <c r="K34" s="1"/>
      <c r="L34" s="72"/>
      <c r="M34" s="1"/>
      <c r="N34" s="1"/>
    </row>
    <row r="35" spans="1:14" thickBot="1" x14ac:dyDescent="0.4">
      <c r="A35" s="257"/>
      <c r="B35" s="257"/>
      <c r="C35" s="258">
        <f>SUM(C4:C34)</f>
        <v>72030</v>
      </c>
      <c r="D35" s="259">
        <f>SUM(D4:D34)</f>
        <v>2108</v>
      </c>
      <c r="E35" s="260">
        <f>SUM(E4:E34)</f>
        <v>6</v>
      </c>
      <c r="F35" s="260">
        <f>SUM(F4:F34)</f>
        <v>80</v>
      </c>
      <c r="G35" s="261"/>
      <c r="H35" s="261">
        <f>SUM(H4:H34)</f>
        <v>473</v>
      </c>
      <c r="I35" s="83"/>
      <c r="J35" s="1"/>
      <c r="K35" s="1"/>
      <c r="L35" s="1"/>
      <c r="M35" s="1"/>
      <c r="N35" s="1"/>
    </row>
    <row r="36" spans="1:14" ht="14.5" x14ac:dyDescent="0.35">
      <c r="A36" s="1"/>
      <c r="B36" s="84"/>
      <c r="C36" s="85"/>
      <c r="D36" s="86"/>
      <c r="E36" s="87"/>
      <c r="F36" s="78"/>
      <c r="G36" s="1"/>
      <c r="H36" s="1"/>
      <c r="I36" s="1"/>
      <c r="J36" s="1"/>
      <c r="K36" s="1"/>
      <c r="L36" s="1"/>
      <c r="M36" s="1"/>
    </row>
    <row r="37" spans="1:14" ht="14.5" x14ac:dyDescent="0.35">
      <c r="A37" s="1"/>
      <c r="B37" s="84"/>
      <c r="C37" s="72"/>
      <c r="D37" s="72"/>
      <c r="E37" s="87"/>
      <c r="F37" s="88"/>
      <c r="G37" s="1"/>
      <c r="H37" s="1"/>
      <c r="I37" s="1"/>
      <c r="J37" s="1"/>
      <c r="K37" s="1"/>
      <c r="L37" s="1"/>
      <c r="M37" s="1"/>
    </row>
    <row r="38" spans="1:14" ht="14.5" x14ac:dyDescent="0.35">
      <c r="A38" s="1"/>
      <c r="B38" s="84"/>
      <c r="C38" s="87"/>
      <c r="D38" s="72"/>
      <c r="E38" s="87"/>
      <c r="F38" s="88"/>
      <c r="G38" s="1"/>
      <c r="H38" s="1"/>
      <c r="I38" s="1"/>
      <c r="J38" s="1"/>
      <c r="K38" s="1"/>
      <c r="L38" s="1"/>
      <c r="M38" s="1"/>
    </row>
    <row r="39" spans="1:14" ht="14.5" x14ac:dyDescent="0.35">
      <c r="A39" s="1"/>
      <c r="B39" s="84"/>
      <c r="C39" s="72"/>
      <c r="D39" s="72"/>
      <c r="E39" s="72"/>
      <c r="F39" s="1"/>
      <c r="G39" s="1"/>
      <c r="H39" s="1"/>
      <c r="I39" s="1"/>
      <c r="J39" s="1"/>
      <c r="K39" s="1"/>
      <c r="L39" s="1"/>
      <c r="M39" s="1"/>
    </row>
    <row r="40" spans="1:14" ht="18" thickBot="1" x14ac:dyDescent="0.4">
      <c r="A40" s="1"/>
      <c r="B40" s="84"/>
      <c r="C40" s="72"/>
      <c r="D40" s="89"/>
      <c r="E40" s="72"/>
      <c r="F40" s="1"/>
      <c r="G40" s="1"/>
      <c r="H40" s="1"/>
      <c r="I40" s="1"/>
      <c r="J40" s="1"/>
      <c r="K40" s="1"/>
      <c r="L40" s="1"/>
      <c r="M40" s="1"/>
    </row>
    <row r="41" spans="1:14" ht="15.65" customHeight="1" x14ac:dyDescent="0.4">
      <c r="A41" s="2"/>
      <c r="B41" s="931" t="s">
        <v>37</v>
      </c>
      <c r="C41" s="935" t="s">
        <v>0</v>
      </c>
      <c r="D41" s="298" t="s">
        <v>2</v>
      </c>
      <c r="E41" s="184" t="s">
        <v>3</v>
      </c>
      <c r="F41" s="185" t="s">
        <v>143</v>
      </c>
      <c r="G41" s="186" t="s">
        <v>6</v>
      </c>
      <c r="H41" s="187" t="s">
        <v>7</v>
      </c>
      <c r="I41" s="7"/>
      <c r="J41" s="7"/>
      <c r="K41" s="951" t="s">
        <v>12</v>
      </c>
      <c r="L41" s="951"/>
      <c r="M41" s="7"/>
      <c r="N41" s="7"/>
    </row>
    <row r="42" spans="1:14" ht="29.25" customHeight="1" x14ac:dyDescent="0.35">
      <c r="A42" s="8"/>
      <c r="B42" s="937"/>
      <c r="C42" s="936"/>
      <c r="D42" s="299" t="s">
        <v>0</v>
      </c>
      <c r="E42" s="188" t="s">
        <v>0</v>
      </c>
      <c r="F42" s="191" t="s">
        <v>0</v>
      </c>
      <c r="G42" s="189" t="s">
        <v>8</v>
      </c>
      <c r="H42" s="190" t="s">
        <v>9</v>
      </c>
      <c r="I42" s="1"/>
      <c r="J42" s="1"/>
      <c r="K42" s="94" t="s">
        <v>15</v>
      </c>
      <c r="L42" s="95">
        <v>53000</v>
      </c>
      <c r="M42" s="1"/>
      <c r="N42" s="1"/>
    </row>
    <row r="43" spans="1:14" ht="14.5" x14ac:dyDescent="0.35">
      <c r="A43" s="192" t="s">
        <v>16</v>
      </c>
      <c r="B43" s="193">
        <v>45444</v>
      </c>
      <c r="C43" s="194">
        <v>1891</v>
      </c>
      <c r="D43" s="195">
        <v>65</v>
      </c>
      <c r="E43" s="196">
        <v>0</v>
      </c>
      <c r="F43" s="197">
        <v>5</v>
      </c>
      <c r="G43" s="262" t="s">
        <v>1046</v>
      </c>
      <c r="H43" s="199">
        <v>14</v>
      </c>
      <c r="I43" s="1"/>
      <c r="J43" s="1"/>
      <c r="K43" s="30" t="s">
        <v>17</v>
      </c>
      <c r="L43" s="97">
        <v>2600</v>
      </c>
      <c r="M43" s="1"/>
      <c r="N43" s="1"/>
    </row>
    <row r="44" spans="1:14" ht="14.5" x14ac:dyDescent="0.35">
      <c r="A44" s="192" t="s">
        <v>18</v>
      </c>
      <c r="B44" s="193">
        <v>45445</v>
      </c>
      <c r="C44" s="212"/>
      <c r="D44" s="213"/>
      <c r="E44" s="203"/>
      <c r="F44" s="203"/>
      <c r="G44" s="203"/>
      <c r="H44" s="204"/>
      <c r="I44" s="1"/>
      <c r="J44" s="1"/>
      <c r="K44" s="98" t="s">
        <v>3</v>
      </c>
      <c r="L44" s="99">
        <v>25</v>
      </c>
      <c r="M44" s="1"/>
      <c r="N44" s="1"/>
    </row>
    <row r="45" spans="1:14" ht="14.5" x14ac:dyDescent="0.35">
      <c r="A45" s="192" t="s">
        <v>20</v>
      </c>
      <c r="B45" s="193">
        <v>45446</v>
      </c>
      <c r="C45" s="205">
        <v>1135</v>
      </c>
      <c r="D45" s="206">
        <v>155</v>
      </c>
      <c r="E45" s="207">
        <v>0</v>
      </c>
      <c r="F45" s="207">
        <v>4</v>
      </c>
      <c r="G45" s="207" t="s">
        <v>1047</v>
      </c>
      <c r="H45" s="208">
        <v>13</v>
      </c>
      <c r="I45" s="1"/>
      <c r="J45" s="100"/>
      <c r="K45" s="1"/>
      <c r="L45" s="84"/>
      <c r="M45" s="1"/>
      <c r="N45" s="1"/>
    </row>
    <row r="46" spans="1:14" ht="14.5" x14ac:dyDescent="0.35">
      <c r="A46" s="192" t="s">
        <v>22</v>
      </c>
      <c r="B46" s="193">
        <v>45447</v>
      </c>
      <c r="C46" s="209">
        <v>1696</v>
      </c>
      <c r="D46" s="210">
        <v>0</v>
      </c>
      <c r="E46" s="211">
        <v>0</v>
      </c>
      <c r="F46" s="211">
        <v>6</v>
      </c>
      <c r="G46" s="211" t="s">
        <v>1048</v>
      </c>
      <c r="H46" s="241">
        <v>15</v>
      </c>
      <c r="I46" s="1"/>
      <c r="J46" s="1"/>
      <c r="K46" s="1"/>
      <c r="L46" s="84"/>
      <c r="M46" s="1"/>
      <c r="N46" s="1"/>
    </row>
    <row r="47" spans="1:14" ht="14.5" x14ac:dyDescent="0.35">
      <c r="A47" s="192" t="s">
        <v>24</v>
      </c>
      <c r="B47" s="193">
        <v>45448</v>
      </c>
      <c r="C47" s="205">
        <v>2100</v>
      </c>
      <c r="D47" s="206">
        <v>50</v>
      </c>
      <c r="E47" s="207">
        <v>0</v>
      </c>
      <c r="F47" s="207">
        <v>1</v>
      </c>
      <c r="G47" s="207" t="s">
        <v>1049</v>
      </c>
      <c r="H47" s="208">
        <v>6</v>
      </c>
      <c r="I47" s="1"/>
      <c r="J47" s="1"/>
      <c r="K47" s="1"/>
      <c r="L47" s="84"/>
      <c r="M47" s="1"/>
      <c r="N47" s="1"/>
    </row>
    <row r="48" spans="1:14" ht="14.5" x14ac:dyDescent="0.35">
      <c r="A48" s="192" t="s">
        <v>10</v>
      </c>
      <c r="B48" s="193">
        <v>45449</v>
      </c>
      <c r="C48" s="212">
        <v>1135</v>
      </c>
      <c r="D48" s="213">
        <v>25</v>
      </c>
      <c r="E48" s="203">
        <v>0</v>
      </c>
      <c r="F48" s="203">
        <v>0</v>
      </c>
      <c r="G48" s="207" t="s">
        <v>1049</v>
      </c>
      <c r="H48" s="204">
        <v>5</v>
      </c>
      <c r="I48" s="1"/>
      <c r="J48" s="1"/>
      <c r="K48" s="1"/>
      <c r="L48" s="84"/>
      <c r="M48" s="1"/>
      <c r="N48" s="1"/>
    </row>
    <row r="49" spans="1:14" ht="14.5" x14ac:dyDescent="0.35">
      <c r="A49" s="192" t="s">
        <v>13</v>
      </c>
      <c r="B49" s="193">
        <v>45450</v>
      </c>
      <c r="C49" s="214">
        <v>2249</v>
      </c>
      <c r="D49" s="195">
        <v>65</v>
      </c>
      <c r="E49" s="215">
        <v>0</v>
      </c>
      <c r="F49" s="215">
        <v>1</v>
      </c>
      <c r="G49" s="215" t="s">
        <v>1050</v>
      </c>
      <c r="H49" s="216">
        <v>15</v>
      </c>
      <c r="I49" s="1"/>
      <c r="J49" s="1"/>
      <c r="K49" s="1"/>
      <c r="L49" s="1"/>
      <c r="M49" s="1"/>
      <c r="N49" s="1"/>
    </row>
    <row r="50" spans="1:14" ht="14.5" x14ac:dyDescent="0.35">
      <c r="A50" s="192" t="s">
        <v>16</v>
      </c>
      <c r="B50" s="193">
        <v>45451</v>
      </c>
      <c r="C50" s="217">
        <v>1612</v>
      </c>
      <c r="D50" s="218">
        <v>40</v>
      </c>
      <c r="E50" s="219">
        <v>0</v>
      </c>
      <c r="F50" s="219">
        <v>2</v>
      </c>
      <c r="G50" s="300" t="s">
        <v>1051</v>
      </c>
      <c r="H50" s="220">
        <v>9</v>
      </c>
      <c r="I50" s="1"/>
      <c r="J50" s="1"/>
      <c r="K50" s="1"/>
      <c r="L50" s="1"/>
      <c r="M50" s="1"/>
      <c r="N50" s="1"/>
    </row>
    <row r="51" spans="1:14" ht="14.5" x14ac:dyDescent="0.35">
      <c r="A51" s="192" t="s">
        <v>18</v>
      </c>
      <c r="B51" s="193">
        <v>45452</v>
      </c>
      <c r="C51" s="221"/>
      <c r="D51" s="222"/>
      <c r="E51" s="223"/>
      <c r="F51" s="223"/>
      <c r="G51" s="223"/>
      <c r="H51" s="224"/>
      <c r="I51" s="1"/>
      <c r="J51" s="1"/>
      <c r="K51" s="1"/>
      <c r="L51" s="1"/>
      <c r="M51" s="1"/>
      <c r="N51" s="1"/>
    </row>
    <row r="52" spans="1:14" ht="14.5" x14ac:dyDescent="0.35">
      <c r="A52" s="192" t="s">
        <v>20</v>
      </c>
      <c r="B52" s="193">
        <v>45453</v>
      </c>
      <c r="C52" s="225">
        <v>2789</v>
      </c>
      <c r="D52" s="226">
        <v>150</v>
      </c>
      <c r="E52" s="227">
        <v>0</v>
      </c>
      <c r="F52" s="227">
        <v>7</v>
      </c>
      <c r="G52" s="227" t="s">
        <v>1052</v>
      </c>
      <c r="H52" s="228">
        <v>20</v>
      </c>
      <c r="I52" s="1"/>
      <c r="J52" s="1"/>
      <c r="K52" s="1"/>
      <c r="L52" s="1"/>
      <c r="M52" s="1"/>
      <c r="N52" s="1"/>
    </row>
    <row r="53" spans="1:14" ht="14.5" x14ac:dyDescent="0.35">
      <c r="A53" s="192" t="s">
        <v>22</v>
      </c>
      <c r="B53" s="193">
        <v>45454</v>
      </c>
      <c r="C53" s="229">
        <v>1685</v>
      </c>
      <c r="D53" s="230">
        <v>122</v>
      </c>
      <c r="E53" s="231">
        <v>0</v>
      </c>
      <c r="F53" s="231">
        <v>5</v>
      </c>
      <c r="G53" s="231" t="s">
        <v>1053</v>
      </c>
      <c r="H53" s="232">
        <v>11</v>
      </c>
      <c r="I53" s="1"/>
      <c r="J53" s="1"/>
      <c r="K53" s="1"/>
      <c r="L53" s="1"/>
      <c r="M53" s="1"/>
      <c r="N53" s="1"/>
    </row>
    <row r="54" spans="1:14" ht="14.5" x14ac:dyDescent="0.35">
      <c r="A54" s="192" t="s">
        <v>24</v>
      </c>
      <c r="B54" s="193">
        <v>45455</v>
      </c>
      <c r="C54" s="225">
        <v>1755</v>
      </c>
      <c r="D54" s="226">
        <v>160</v>
      </c>
      <c r="E54" s="227">
        <v>0</v>
      </c>
      <c r="F54" s="227">
        <v>3</v>
      </c>
      <c r="G54" s="227" t="s">
        <v>1054</v>
      </c>
      <c r="H54" s="228">
        <v>11</v>
      </c>
      <c r="I54" s="1"/>
      <c r="J54" s="1"/>
      <c r="K54" s="1"/>
      <c r="L54" s="1"/>
      <c r="M54" s="1"/>
      <c r="N54" s="1"/>
    </row>
    <row r="55" spans="1:14" ht="14.5" x14ac:dyDescent="0.35">
      <c r="A55" s="192" t="s">
        <v>10</v>
      </c>
      <c r="B55" s="193">
        <v>45456</v>
      </c>
      <c r="C55" s="233">
        <v>2125</v>
      </c>
      <c r="D55" s="234">
        <v>40</v>
      </c>
      <c r="E55" s="235">
        <v>0</v>
      </c>
      <c r="F55" s="235">
        <v>1</v>
      </c>
      <c r="G55" s="235" t="s">
        <v>1055</v>
      </c>
      <c r="H55" s="236">
        <v>10</v>
      </c>
      <c r="I55" s="1" t="s">
        <v>821</v>
      </c>
      <c r="J55" s="1"/>
      <c r="K55" s="1"/>
      <c r="L55" s="1"/>
      <c r="M55" s="1"/>
      <c r="N55" s="1"/>
    </row>
    <row r="56" spans="1:14" ht="14.5" x14ac:dyDescent="0.35">
      <c r="A56" s="192" t="s">
        <v>13</v>
      </c>
      <c r="B56" s="193">
        <v>45457</v>
      </c>
      <c r="C56" s="225">
        <v>2838</v>
      </c>
      <c r="D56" s="226">
        <v>60</v>
      </c>
      <c r="E56" s="227">
        <v>0</v>
      </c>
      <c r="F56" s="227">
        <v>0</v>
      </c>
      <c r="G56" s="227" t="s">
        <v>1054</v>
      </c>
      <c r="H56" s="228">
        <v>14</v>
      </c>
      <c r="I56" s="1"/>
      <c r="J56" s="1"/>
      <c r="K56" s="1"/>
      <c r="L56" s="1"/>
      <c r="M56" s="1"/>
      <c r="N56" s="1"/>
    </row>
    <row r="57" spans="1:14" ht="14.5" x14ac:dyDescent="0.35">
      <c r="A57" s="192" t="s">
        <v>16</v>
      </c>
      <c r="B57" s="193">
        <v>45458</v>
      </c>
      <c r="C57" s="233">
        <v>2826</v>
      </c>
      <c r="D57" s="195">
        <v>90</v>
      </c>
      <c r="E57" s="215">
        <v>0</v>
      </c>
      <c r="F57" s="215">
        <v>0</v>
      </c>
      <c r="G57" s="215" t="s">
        <v>1056</v>
      </c>
      <c r="H57" s="216">
        <v>17</v>
      </c>
      <c r="I57" s="1"/>
      <c r="J57" s="1"/>
      <c r="K57" s="1"/>
      <c r="L57" s="1"/>
      <c r="M57" s="1"/>
      <c r="N57" s="1"/>
    </row>
    <row r="58" spans="1:14" ht="14.5" x14ac:dyDescent="0.35">
      <c r="A58" s="192" t="s">
        <v>18</v>
      </c>
      <c r="B58" s="193">
        <v>45459</v>
      </c>
      <c r="C58" s="209"/>
      <c r="D58" s="213"/>
      <c r="E58" s="203"/>
      <c r="F58" s="203"/>
      <c r="G58" s="203"/>
      <c r="H58" s="204"/>
      <c r="I58" s="1"/>
      <c r="J58" s="1"/>
      <c r="K58" s="1"/>
      <c r="L58" s="1"/>
      <c r="M58" s="1"/>
      <c r="N58" s="1"/>
    </row>
    <row r="59" spans="1:14" ht="14.5" x14ac:dyDescent="0.35">
      <c r="A59" s="192" t="s">
        <v>20</v>
      </c>
      <c r="B59" s="193">
        <v>45460</v>
      </c>
      <c r="C59" s="233">
        <v>1842</v>
      </c>
      <c r="D59" s="234">
        <v>190</v>
      </c>
      <c r="E59" s="215">
        <v>1</v>
      </c>
      <c r="F59" s="215">
        <v>7</v>
      </c>
      <c r="G59" s="235" t="s">
        <v>1057</v>
      </c>
      <c r="H59" s="216">
        <v>18</v>
      </c>
      <c r="I59" s="1"/>
      <c r="J59" s="1"/>
      <c r="K59" s="1"/>
      <c r="L59" s="1"/>
      <c r="M59" s="1"/>
      <c r="N59" s="1"/>
    </row>
    <row r="60" spans="1:14" ht="14.5" x14ac:dyDescent="0.35">
      <c r="A60" s="192" t="s">
        <v>22</v>
      </c>
      <c r="B60" s="193">
        <v>45461</v>
      </c>
      <c r="C60" s="237">
        <v>2178</v>
      </c>
      <c r="D60" s="238">
        <v>165</v>
      </c>
      <c r="E60" s="239">
        <v>0</v>
      </c>
      <c r="F60" s="239">
        <v>11</v>
      </c>
      <c r="G60" s="239" t="s">
        <v>1058</v>
      </c>
      <c r="H60" s="240">
        <v>16</v>
      </c>
      <c r="I60" s="1"/>
      <c r="J60" s="1"/>
      <c r="K60" s="1"/>
      <c r="L60" s="1"/>
      <c r="M60" s="1"/>
      <c r="N60" s="1"/>
    </row>
    <row r="61" spans="1:14" ht="14.5" x14ac:dyDescent="0.35">
      <c r="A61" s="192" t="s">
        <v>24</v>
      </c>
      <c r="B61" s="193">
        <v>45462</v>
      </c>
      <c r="C61" s="214">
        <v>2195</v>
      </c>
      <c r="D61" s="195">
        <v>0</v>
      </c>
      <c r="E61" s="215">
        <v>0</v>
      </c>
      <c r="F61" s="215">
        <v>0</v>
      </c>
      <c r="G61" s="215" t="s">
        <v>1059</v>
      </c>
      <c r="H61" s="216">
        <v>11</v>
      </c>
      <c r="I61" s="1"/>
      <c r="J61" s="1"/>
      <c r="K61" s="1"/>
      <c r="L61" s="1"/>
      <c r="M61" s="1"/>
      <c r="N61" s="1"/>
    </row>
    <row r="62" spans="1:14" ht="14.5" x14ac:dyDescent="0.35">
      <c r="A62" s="192" t="s">
        <v>10</v>
      </c>
      <c r="B62" s="193">
        <v>45463</v>
      </c>
      <c r="C62" s="237">
        <v>1089</v>
      </c>
      <c r="D62" s="238">
        <v>0</v>
      </c>
      <c r="E62" s="239">
        <v>0</v>
      </c>
      <c r="F62" s="239">
        <v>1</v>
      </c>
      <c r="G62" s="239" t="s">
        <v>1060</v>
      </c>
      <c r="H62" s="240">
        <v>6</v>
      </c>
      <c r="I62" s="1"/>
      <c r="J62" s="1"/>
      <c r="K62" s="1"/>
      <c r="L62" s="1"/>
      <c r="M62" s="1"/>
      <c r="N62" s="1"/>
    </row>
    <row r="63" spans="1:14" ht="14.5" x14ac:dyDescent="0.35">
      <c r="A63" s="192" t="s">
        <v>13</v>
      </c>
      <c r="B63" s="193">
        <v>45464</v>
      </c>
      <c r="C63" s="205">
        <v>2960</v>
      </c>
      <c r="D63" s="206">
        <v>95</v>
      </c>
      <c r="E63" s="207">
        <v>0</v>
      </c>
      <c r="F63" s="207">
        <v>1</v>
      </c>
      <c r="G63" s="207" t="s">
        <v>1061</v>
      </c>
      <c r="H63" s="208">
        <v>12</v>
      </c>
      <c r="I63" s="1"/>
      <c r="J63" s="1"/>
      <c r="K63" s="1"/>
      <c r="L63" s="1"/>
      <c r="M63" s="1"/>
      <c r="N63" s="1"/>
    </row>
    <row r="64" spans="1:14" ht="14.5" x14ac:dyDescent="0.35">
      <c r="A64" s="192" t="s">
        <v>16</v>
      </c>
      <c r="B64" s="193">
        <v>45465</v>
      </c>
      <c r="C64" s="209">
        <v>2316</v>
      </c>
      <c r="D64" s="210">
        <v>260</v>
      </c>
      <c r="E64" s="211">
        <v>1</v>
      </c>
      <c r="F64" s="211">
        <v>5</v>
      </c>
      <c r="G64" s="211" t="s">
        <v>1062</v>
      </c>
      <c r="H64" s="241">
        <v>14</v>
      </c>
      <c r="I64" s="1"/>
      <c r="J64" s="1"/>
      <c r="K64" s="1"/>
      <c r="L64" s="1"/>
      <c r="M64" s="1"/>
      <c r="N64" s="1"/>
    </row>
    <row r="65" spans="1:14" ht="14.5" x14ac:dyDescent="0.35">
      <c r="A65" s="192" t="s">
        <v>18</v>
      </c>
      <c r="B65" s="193">
        <v>45466</v>
      </c>
      <c r="C65" s="233"/>
      <c r="D65" s="234"/>
      <c r="E65" s="235"/>
      <c r="F65" s="235"/>
      <c r="G65" s="235"/>
      <c r="H65" s="236"/>
      <c r="I65" s="1"/>
      <c r="J65" s="1"/>
      <c r="K65" s="1"/>
      <c r="L65" s="1"/>
      <c r="M65" s="1"/>
      <c r="N65" s="1"/>
    </row>
    <row r="66" spans="1:14" ht="14.5" x14ac:dyDescent="0.35">
      <c r="A66" s="192" t="s">
        <v>20</v>
      </c>
      <c r="B66" s="193">
        <v>45467</v>
      </c>
      <c r="C66" s="237">
        <v>2266</v>
      </c>
      <c r="D66" s="238">
        <v>140</v>
      </c>
      <c r="E66" s="239">
        <v>0</v>
      </c>
      <c r="F66" s="239">
        <v>7</v>
      </c>
      <c r="G66" s="239" t="s">
        <v>1062</v>
      </c>
      <c r="H66" s="240">
        <v>30</v>
      </c>
      <c r="I66" s="1"/>
      <c r="J66" s="1"/>
      <c r="K66" s="1"/>
      <c r="L66" s="1"/>
      <c r="M66" s="1"/>
      <c r="N66" s="1"/>
    </row>
    <row r="67" spans="1:14" ht="14.5" x14ac:dyDescent="0.35">
      <c r="A67" s="192" t="s">
        <v>22</v>
      </c>
      <c r="B67" s="193">
        <v>45468</v>
      </c>
      <c r="C67" s="233">
        <v>1658</v>
      </c>
      <c r="D67" s="234">
        <v>25</v>
      </c>
      <c r="E67" s="235">
        <v>0</v>
      </c>
      <c r="F67" s="235">
        <v>5</v>
      </c>
      <c r="G67" s="235" t="s">
        <v>1063</v>
      </c>
      <c r="H67" s="236">
        <v>10</v>
      </c>
      <c r="I67" s="1"/>
      <c r="J67" s="1"/>
      <c r="K67" s="1"/>
      <c r="L67" s="1"/>
      <c r="M67" s="1"/>
      <c r="N67" s="1"/>
    </row>
    <row r="68" spans="1:14" ht="14.5" x14ac:dyDescent="0.35">
      <c r="A68" s="192" t="s">
        <v>24</v>
      </c>
      <c r="B68" s="193">
        <v>45469</v>
      </c>
      <c r="C68" s="209">
        <v>2762</v>
      </c>
      <c r="D68" s="210">
        <v>0</v>
      </c>
      <c r="E68" s="211">
        <v>0</v>
      </c>
      <c r="F68" s="211">
        <v>0</v>
      </c>
      <c r="G68" s="211" t="s">
        <v>1064</v>
      </c>
      <c r="H68" s="241">
        <v>11</v>
      </c>
      <c r="I68" s="1"/>
      <c r="J68" s="1"/>
      <c r="K68" s="1"/>
      <c r="L68" s="1"/>
      <c r="M68" s="1"/>
      <c r="N68" s="1"/>
    </row>
    <row r="69" spans="1:14" ht="14.5" x14ac:dyDescent="0.35">
      <c r="A69" s="192" t="s">
        <v>10</v>
      </c>
      <c r="B69" s="193">
        <v>45470</v>
      </c>
      <c r="C69" s="214">
        <v>1737</v>
      </c>
      <c r="D69" s="195">
        <v>95</v>
      </c>
      <c r="E69" s="215">
        <v>0</v>
      </c>
      <c r="F69" s="215">
        <v>0</v>
      </c>
      <c r="G69" s="215" t="s">
        <v>1065</v>
      </c>
      <c r="H69" s="216">
        <v>13</v>
      </c>
      <c r="I69" s="1"/>
      <c r="J69" s="1"/>
      <c r="K69" s="1"/>
      <c r="L69" s="1"/>
      <c r="M69" s="1"/>
      <c r="N69" s="1"/>
    </row>
    <row r="70" spans="1:14" ht="14.5" x14ac:dyDescent="0.35">
      <c r="A70" s="192" t="s">
        <v>13</v>
      </c>
      <c r="B70" s="193">
        <v>45471</v>
      </c>
      <c r="C70" s="212">
        <v>1479</v>
      </c>
      <c r="D70" s="213">
        <v>110</v>
      </c>
      <c r="E70" s="203">
        <v>0</v>
      </c>
      <c r="F70" s="203">
        <v>1</v>
      </c>
      <c r="G70" s="203" t="s">
        <v>1066</v>
      </c>
      <c r="H70" s="204">
        <v>11</v>
      </c>
      <c r="I70" s="1"/>
      <c r="J70" s="1"/>
      <c r="K70" s="1"/>
      <c r="L70" s="1"/>
      <c r="M70" s="1"/>
      <c r="N70" s="1"/>
    </row>
    <row r="71" spans="1:14" ht="14.5" x14ac:dyDescent="0.35">
      <c r="A71" s="192" t="s">
        <v>16</v>
      </c>
      <c r="B71" s="193">
        <v>45472</v>
      </c>
      <c r="C71" s="233">
        <v>1102</v>
      </c>
      <c r="D71" s="263">
        <v>125</v>
      </c>
      <c r="E71" s="215">
        <v>0</v>
      </c>
      <c r="F71" s="215">
        <v>5</v>
      </c>
      <c r="G71" s="215" t="s">
        <v>1067</v>
      </c>
      <c r="H71" s="216">
        <v>10</v>
      </c>
      <c r="I71" s="1"/>
      <c r="J71" s="1"/>
      <c r="K71" s="1"/>
      <c r="L71" s="1"/>
      <c r="M71" s="1"/>
      <c r="N71" s="1"/>
    </row>
    <row r="72" spans="1:14" ht="14.5" x14ac:dyDescent="0.35">
      <c r="A72" s="192" t="s">
        <v>18</v>
      </c>
      <c r="B72" s="193">
        <v>45473</v>
      </c>
      <c r="C72" s="212"/>
      <c r="D72" s="213"/>
      <c r="E72" s="203"/>
      <c r="F72" s="203"/>
      <c r="G72" s="203"/>
      <c r="H72" s="204"/>
      <c r="I72" s="1"/>
      <c r="J72" s="1"/>
      <c r="K72" s="1"/>
      <c r="L72" s="1"/>
      <c r="M72" s="1"/>
      <c r="N72" s="1"/>
    </row>
    <row r="73" spans="1:14" thickBot="1" x14ac:dyDescent="0.4">
      <c r="A73" s="192" t="s">
        <v>20</v>
      </c>
      <c r="B73" s="193">
        <v>45474</v>
      </c>
      <c r="C73" s="264"/>
      <c r="D73" s="265"/>
      <c r="E73" s="266"/>
      <c r="F73" s="266"/>
      <c r="G73" s="266" t="s">
        <v>967</v>
      </c>
      <c r="H73" s="267"/>
      <c r="I73" s="1"/>
      <c r="J73" s="1"/>
      <c r="K73" s="1"/>
      <c r="L73" s="1"/>
      <c r="M73" s="1"/>
      <c r="N73" s="1"/>
    </row>
    <row r="74" spans="1:14" thickBot="1" x14ac:dyDescent="0.4">
      <c r="A74" s="257"/>
      <c r="B74" s="268"/>
      <c r="C74" s="258">
        <f>SUM(C43:C73)</f>
        <v>49420</v>
      </c>
      <c r="D74" s="259">
        <f>SUM(D43:D73)</f>
        <v>2227</v>
      </c>
      <c r="E74" s="260">
        <f>SUM(E43:E73)</f>
        <v>2</v>
      </c>
      <c r="F74" s="260">
        <f>SUM(F43:F73)</f>
        <v>78</v>
      </c>
      <c r="G74" s="261"/>
      <c r="H74" s="261">
        <f>SUM(H43:H73)</f>
        <v>322</v>
      </c>
      <c r="I74" s="72"/>
      <c r="J74" s="72"/>
      <c r="K74" s="1"/>
      <c r="L74" s="1"/>
      <c r="M74" s="1"/>
      <c r="N74" s="1"/>
    </row>
    <row r="75" spans="1:14" ht="14.5" x14ac:dyDescent="0.35">
      <c r="A75" s="1"/>
      <c r="B75" s="84"/>
      <c r="C75" s="72"/>
      <c r="D75" s="1"/>
      <c r="E75" s="87"/>
      <c r="F75" s="88"/>
      <c r="G75" s="1"/>
      <c r="H75" s="1"/>
      <c r="I75" s="1"/>
      <c r="J75" s="1"/>
      <c r="K75" s="1"/>
      <c r="L75" s="1"/>
      <c r="M75" s="1"/>
    </row>
    <row r="76" spans="1:14" thickBot="1" x14ac:dyDescent="0.4">
      <c r="A76" s="1"/>
      <c r="B76" s="84"/>
      <c r="C76" s="72"/>
      <c r="D76" s="1"/>
      <c r="E76" s="72"/>
      <c r="F76" s="1"/>
      <c r="G76" s="1"/>
      <c r="H76" s="1"/>
      <c r="I76" s="1"/>
      <c r="J76" s="1"/>
      <c r="K76" s="1"/>
      <c r="L76" s="1"/>
      <c r="M76" s="1"/>
    </row>
    <row r="77" spans="1:14" ht="15.65" customHeight="1" x14ac:dyDescent="0.4">
      <c r="A77" s="2"/>
      <c r="B77" s="926" t="s">
        <v>53</v>
      </c>
      <c r="C77" s="935" t="s">
        <v>0</v>
      </c>
      <c r="D77" s="298" t="s">
        <v>2</v>
      </c>
      <c r="E77" s="184" t="s">
        <v>3</v>
      </c>
      <c r="F77" s="185" t="s">
        <v>143</v>
      </c>
      <c r="G77" s="186" t="s">
        <v>6</v>
      </c>
      <c r="H77" s="187" t="s">
        <v>7</v>
      </c>
      <c r="I77" s="7"/>
      <c r="J77" s="7"/>
      <c r="K77" s="7"/>
      <c r="L77" s="7"/>
      <c r="M77" s="7"/>
      <c r="N77" s="7"/>
    </row>
    <row r="78" spans="1:14" ht="29" x14ac:dyDescent="0.35">
      <c r="A78" s="8"/>
      <c r="B78" s="934"/>
      <c r="C78" s="936"/>
      <c r="D78" s="299" t="s">
        <v>0</v>
      </c>
      <c r="E78" s="188" t="s">
        <v>0</v>
      </c>
      <c r="F78" s="183" t="s">
        <v>0</v>
      </c>
      <c r="G78" s="189" t="s">
        <v>8</v>
      </c>
      <c r="H78" s="190" t="s">
        <v>9</v>
      </c>
      <c r="I78" s="1"/>
      <c r="J78" s="1"/>
      <c r="K78" s="951" t="s">
        <v>12</v>
      </c>
      <c r="L78" s="951"/>
      <c r="M78" s="1"/>
      <c r="N78" s="1"/>
    </row>
    <row r="79" spans="1:14" ht="14.5" x14ac:dyDescent="0.35">
      <c r="A79" s="192" t="s">
        <v>16</v>
      </c>
      <c r="B79" s="193">
        <v>45444</v>
      </c>
      <c r="C79" s="194">
        <v>5020</v>
      </c>
      <c r="D79" s="195">
        <v>145</v>
      </c>
      <c r="E79" s="196">
        <v>0</v>
      </c>
      <c r="F79" s="269">
        <v>0</v>
      </c>
      <c r="G79" s="262" t="s">
        <v>281</v>
      </c>
      <c r="H79" s="199">
        <v>17</v>
      </c>
      <c r="I79" s="1"/>
      <c r="J79" s="1"/>
      <c r="K79" s="94" t="s">
        <v>15</v>
      </c>
      <c r="L79" s="95">
        <v>56000</v>
      </c>
      <c r="M79" s="1"/>
      <c r="N79" s="1"/>
    </row>
    <row r="80" spans="1:14" ht="14.5" x14ac:dyDescent="0.35">
      <c r="A80" s="192" t="s">
        <v>18</v>
      </c>
      <c r="B80" s="193">
        <v>45445</v>
      </c>
      <c r="C80" s="212"/>
      <c r="D80" s="213"/>
      <c r="E80" s="203"/>
      <c r="F80" s="203"/>
      <c r="G80" s="203"/>
      <c r="H80" s="204"/>
      <c r="I80" s="1"/>
      <c r="J80" s="1"/>
      <c r="K80" s="30" t="s">
        <v>17</v>
      </c>
      <c r="L80" s="97">
        <v>3000</v>
      </c>
      <c r="M80" s="1"/>
      <c r="N80" s="1"/>
    </row>
    <row r="81" spans="1:14" ht="14.5" x14ac:dyDescent="0.35">
      <c r="A81" s="192" t="s">
        <v>20</v>
      </c>
      <c r="B81" s="193">
        <v>45446</v>
      </c>
      <c r="C81" s="205">
        <v>1591</v>
      </c>
      <c r="D81" s="206">
        <v>29</v>
      </c>
      <c r="E81" s="207">
        <v>0</v>
      </c>
      <c r="F81" s="207">
        <v>0</v>
      </c>
      <c r="G81" s="207" t="s">
        <v>1068</v>
      </c>
      <c r="H81" s="208">
        <v>11</v>
      </c>
      <c r="I81" s="1"/>
      <c r="J81" s="1"/>
      <c r="K81" s="98" t="s">
        <v>3</v>
      </c>
      <c r="L81" s="99">
        <v>20</v>
      </c>
      <c r="M81" s="1"/>
      <c r="N81" s="1"/>
    </row>
    <row r="82" spans="1:14" ht="14.5" x14ac:dyDescent="0.35">
      <c r="A82" s="192" t="s">
        <v>22</v>
      </c>
      <c r="B82" s="193">
        <v>45447</v>
      </c>
      <c r="C82" s="209">
        <v>2694</v>
      </c>
      <c r="D82" s="210">
        <v>87</v>
      </c>
      <c r="E82" s="211">
        <v>0</v>
      </c>
      <c r="F82" s="211">
        <v>3</v>
      </c>
      <c r="G82" s="211" t="s">
        <v>180</v>
      </c>
      <c r="H82" s="241">
        <v>8</v>
      </c>
      <c r="I82" s="1"/>
      <c r="J82" s="1"/>
      <c r="K82" s="1"/>
      <c r="L82" s="1"/>
      <c r="M82" s="1"/>
      <c r="N82" s="1"/>
    </row>
    <row r="83" spans="1:14" ht="14.5" x14ac:dyDescent="0.35">
      <c r="A83" s="192" t="s">
        <v>24</v>
      </c>
      <c r="B83" s="193">
        <v>45448</v>
      </c>
      <c r="C83" s="205">
        <v>1505</v>
      </c>
      <c r="D83" s="206">
        <v>74</v>
      </c>
      <c r="E83" s="207">
        <v>0</v>
      </c>
      <c r="F83" s="207">
        <v>0</v>
      </c>
      <c r="G83" s="207" t="s">
        <v>1069</v>
      </c>
      <c r="H83" s="208">
        <v>8</v>
      </c>
      <c r="I83" s="1"/>
      <c r="J83" s="1"/>
      <c r="K83" s="1"/>
      <c r="L83" s="1"/>
      <c r="M83" s="1"/>
      <c r="N83" s="1"/>
    </row>
    <row r="84" spans="1:14" ht="14.5" x14ac:dyDescent="0.35">
      <c r="A84" s="192" t="s">
        <v>10</v>
      </c>
      <c r="B84" s="193">
        <v>45449</v>
      </c>
      <c r="C84" s="212">
        <v>1712</v>
      </c>
      <c r="D84" s="213">
        <v>29</v>
      </c>
      <c r="E84" s="203">
        <v>0</v>
      </c>
      <c r="F84" s="203">
        <v>1</v>
      </c>
      <c r="G84" s="203" t="s">
        <v>1069</v>
      </c>
      <c r="H84" s="204">
        <v>9</v>
      </c>
      <c r="I84" s="1"/>
      <c r="J84" s="1"/>
      <c r="K84" s="1"/>
      <c r="L84" s="1"/>
      <c r="M84" s="1"/>
      <c r="N84" s="1"/>
    </row>
    <row r="85" spans="1:14" ht="14.5" x14ac:dyDescent="0.35">
      <c r="A85" s="192" t="s">
        <v>13</v>
      </c>
      <c r="B85" s="193">
        <v>45450</v>
      </c>
      <c r="C85" s="214">
        <v>2638</v>
      </c>
      <c r="D85" s="195">
        <v>145</v>
      </c>
      <c r="E85" s="215">
        <v>0</v>
      </c>
      <c r="F85" s="215">
        <v>0</v>
      </c>
      <c r="G85" s="215" t="s">
        <v>1070</v>
      </c>
      <c r="H85" s="216">
        <v>14</v>
      </c>
      <c r="I85" s="1"/>
      <c r="J85" s="1"/>
      <c r="K85" s="1"/>
      <c r="L85" s="1"/>
      <c r="M85" s="1"/>
      <c r="N85" s="1"/>
    </row>
    <row r="86" spans="1:14" ht="14.5" x14ac:dyDescent="0.35">
      <c r="A86" s="192" t="s">
        <v>16</v>
      </c>
      <c r="B86" s="193">
        <v>45451</v>
      </c>
      <c r="C86" s="217">
        <v>1415</v>
      </c>
      <c r="D86" s="218">
        <v>58</v>
      </c>
      <c r="E86" s="219">
        <v>0</v>
      </c>
      <c r="F86" s="219">
        <v>1</v>
      </c>
      <c r="G86" s="219" t="s">
        <v>657</v>
      </c>
      <c r="H86" s="220">
        <v>15</v>
      </c>
      <c r="I86" s="1"/>
      <c r="J86" s="1"/>
      <c r="K86" s="1"/>
      <c r="L86" s="1"/>
      <c r="M86" s="1"/>
      <c r="N86" s="1"/>
    </row>
    <row r="87" spans="1:14" ht="14.5" x14ac:dyDescent="0.35">
      <c r="A87" s="192" t="s">
        <v>18</v>
      </c>
      <c r="B87" s="193">
        <v>45452</v>
      </c>
      <c r="C87" s="221"/>
      <c r="D87" s="222"/>
      <c r="E87" s="223"/>
      <c r="F87" s="223"/>
      <c r="G87" s="223"/>
      <c r="H87" s="224"/>
      <c r="I87" s="1"/>
      <c r="J87" s="1"/>
      <c r="K87" s="1"/>
      <c r="L87" s="1"/>
      <c r="M87" s="1"/>
      <c r="N87" s="1"/>
    </row>
    <row r="88" spans="1:14" ht="14.5" x14ac:dyDescent="0.35">
      <c r="A88" s="192" t="s">
        <v>20</v>
      </c>
      <c r="B88" s="193">
        <v>45453</v>
      </c>
      <c r="C88" s="225">
        <v>2798</v>
      </c>
      <c r="D88" s="226">
        <v>29</v>
      </c>
      <c r="E88" s="227">
        <v>0</v>
      </c>
      <c r="F88" s="227">
        <v>0</v>
      </c>
      <c r="G88" s="227" t="s">
        <v>1071</v>
      </c>
      <c r="H88" s="228">
        <v>19</v>
      </c>
      <c r="I88" s="1"/>
      <c r="J88" s="1"/>
      <c r="K88" s="1"/>
      <c r="L88" s="1"/>
      <c r="M88" s="1"/>
      <c r="N88" s="1"/>
    </row>
    <row r="89" spans="1:14" ht="14.5" x14ac:dyDescent="0.35">
      <c r="A89" s="192" t="s">
        <v>22</v>
      </c>
      <c r="B89" s="193">
        <v>45454</v>
      </c>
      <c r="C89" s="229">
        <v>2008</v>
      </c>
      <c r="D89" s="230">
        <v>79</v>
      </c>
      <c r="E89" s="231">
        <v>0</v>
      </c>
      <c r="F89" s="231">
        <v>2</v>
      </c>
      <c r="G89" s="231" t="s">
        <v>1072</v>
      </c>
      <c r="H89" s="232">
        <v>7</v>
      </c>
      <c r="I89" s="1"/>
      <c r="J89" s="1"/>
      <c r="K89" s="1"/>
      <c r="L89" s="1"/>
      <c r="M89" s="1"/>
      <c r="N89" s="1"/>
    </row>
    <row r="90" spans="1:14" ht="14.5" x14ac:dyDescent="0.35">
      <c r="A90" s="192" t="s">
        <v>24</v>
      </c>
      <c r="B90" s="193">
        <v>45455</v>
      </c>
      <c r="C90" s="225">
        <v>1977</v>
      </c>
      <c r="D90" s="226">
        <v>0</v>
      </c>
      <c r="E90" s="227">
        <v>0</v>
      </c>
      <c r="F90" s="227">
        <v>1</v>
      </c>
      <c r="G90" s="227" t="s">
        <v>548</v>
      </c>
      <c r="H90" s="228">
        <v>5</v>
      </c>
      <c r="I90" s="1"/>
      <c r="J90" s="1"/>
      <c r="K90" s="1"/>
      <c r="L90" s="1"/>
      <c r="M90" s="1"/>
      <c r="N90" s="1"/>
    </row>
    <row r="91" spans="1:14" ht="14.5" x14ac:dyDescent="0.35">
      <c r="A91" s="192" t="s">
        <v>10</v>
      </c>
      <c r="B91" s="193">
        <v>45456</v>
      </c>
      <c r="C91" s="233">
        <v>2328</v>
      </c>
      <c r="D91" s="234">
        <v>87</v>
      </c>
      <c r="E91" s="235">
        <v>0</v>
      </c>
      <c r="F91" s="235">
        <v>0</v>
      </c>
      <c r="G91" s="235" t="s">
        <v>1073</v>
      </c>
      <c r="H91" s="236">
        <v>14</v>
      </c>
      <c r="I91" s="1"/>
      <c r="J91" s="1"/>
      <c r="K91" s="1"/>
      <c r="L91" s="1"/>
      <c r="M91" s="1"/>
      <c r="N91" s="1"/>
    </row>
    <row r="92" spans="1:14" ht="14.5" x14ac:dyDescent="0.35">
      <c r="A92" s="192" t="s">
        <v>13</v>
      </c>
      <c r="B92" s="193">
        <v>45457</v>
      </c>
      <c r="C92" s="225">
        <v>1917</v>
      </c>
      <c r="D92" s="226">
        <v>87</v>
      </c>
      <c r="E92" s="227">
        <v>0</v>
      </c>
      <c r="F92" s="227">
        <v>1</v>
      </c>
      <c r="G92" s="227" t="s">
        <v>1074</v>
      </c>
      <c r="H92" s="228">
        <v>8</v>
      </c>
      <c r="I92" s="1"/>
      <c r="J92" s="1"/>
      <c r="K92" s="1"/>
      <c r="L92" s="1"/>
      <c r="M92" s="1"/>
      <c r="N92" s="1"/>
    </row>
    <row r="93" spans="1:14" ht="14.5" x14ac:dyDescent="0.35">
      <c r="A93" s="192" t="s">
        <v>16</v>
      </c>
      <c r="B93" s="193">
        <v>45458</v>
      </c>
      <c r="C93" s="233">
        <v>2075</v>
      </c>
      <c r="D93" s="195">
        <v>87</v>
      </c>
      <c r="E93" s="215">
        <v>0</v>
      </c>
      <c r="F93" s="215">
        <v>0</v>
      </c>
      <c r="G93" s="215" t="s">
        <v>1075</v>
      </c>
      <c r="H93" s="216">
        <v>14</v>
      </c>
      <c r="I93" s="1"/>
      <c r="J93" s="1"/>
      <c r="K93" s="1"/>
      <c r="L93" s="1"/>
      <c r="M93" s="1"/>
      <c r="N93" s="1"/>
    </row>
    <row r="94" spans="1:14" ht="14.5" x14ac:dyDescent="0.35">
      <c r="A94" s="192" t="s">
        <v>18</v>
      </c>
      <c r="B94" s="193">
        <v>45459</v>
      </c>
      <c r="C94" s="209"/>
      <c r="D94" s="213"/>
      <c r="E94" s="203"/>
      <c r="F94" s="203"/>
      <c r="G94" s="203"/>
      <c r="H94" s="204"/>
      <c r="I94" s="1"/>
      <c r="J94" s="1"/>
      <c r="K94" s="1"/>
      <c r="L94" s="1"/>
      <c r="M94" s="1"/>
      <c r="N94" s="1"/>
    </row>
    <row r="95" spans="1:14" ht="14.5" x14ac:dyDescent="0.35">
      <c r="A95" s="192" t="s">
        <v>20</v>
      </c>
      <c r="B95" s="193">
        <v>45460</v>
      </c>
      <c r="C95" s="233">
        <v>2333</v>
      </c>
      <c r="D95" s="234">
        <v>0</v>
      </c>
      <c r="E95" s="215">
        <v>0</v>
      </c>
      <c r="F95" s="215">
        <v>0</v>
      </c>
      <c r="G95" s="235" t="s">
        <v>1076</v>
      </c>
      <c r="H95" s="216">
        <v>15</v>
      </c>
      <c r="I95" s="1"/>
      <c r="J95" s="1"/>
      <c r="K95" s="1"/>
      <c r="L95" s="1"/>
      <c r="M95" s="1"/>
      <c r="N95" s="1"/>
    </row>
    <row r="96" spans="1:14" ht="14.5" x14ac:dyDescent="0.35">
      <c r="A96" s="192" t="s">
        <v>22</v>
      </c>
      <c r="B96" s="193">
        <v>45461</v>
      </c>
      <c r="C96" s="237">
        <v>3332</v>
      </c>
      <c r="D96" s="270">
        <v>116</v>
      </c>
      <c r="E96" s="239">
        <v>0</v>
      </c>
      <c r="F96" s="239">
        <v>2</v>
      </c>
      <c r="G96" s="239" t="s">
        <v>1077</v>
      </c>
      <c r="H96" s="240">
        <v>15</v>
      </c>
      <c r="I96" s="1"/>
      <c r="J96" s="1"/>
      <c r="K96" s="1"/>
      <c r="L96" s="1"/>
      <c r="M96" s="1"/>
      <c r="N96" s="1"/>
    </row>
    <row r="97" spans="1:14" ht="14.5" x14ac:dyDescent="0.35">
      <c r="A97" s="192" t="s">
        <v>24</v>
      </c>
      <c r="B97" s="193">
        <v>45462</v>
      </c>
      <c r="C97" s="214">
        <v>3154</v>
      </c>
      <c r="D97" s="195">
        <v>0</v>
      </c>
      <c r="E97" s="215">
        <v>0</v>
      </c>
      <c r="F97" s="215">
        <v>0</v>
      </c>
      <c r="G97" s="215" t="s">
        <v>1078</v>
      </c>
      <c r="H97" s="216">
        <v>14</v>
      </c>
      <c r="I97" s="1"/>
      <c r="J97" s="1"/>
      <c r="K97" s="1"/>
      <c r="L97" s="1"/>
      <c r="M97" s="1"/>
      <c r="N97" s="1"/>
    </row>
    <row r="98" spans="1:14" ht="14.5" x14ac:dyDescent="0.35">
      <c r="A98" s="192" t="s">
        <v>10</v>
      </c>
      <c r="B98" s="193">
        <v>45463</v>
      </c>
      <c r="C98" s="237">
        <v>962</v>
      </c>
      <c r="D98" s="238">
        <v>35</v>
      </c>
      <c r="E98" s="239">
        <v>0</v>
      </c>
      <c r="F98" s="239">
        <v>0</v>
      </c>
      <c r="G98" s="239" t="s">
        <v>1079</v>
      </c>
      <c r="H98" s="240">
        <v>10</v>
      </c>
      <c r="I98" s="1"/>
      <c r="J98" s="1"/>
      <c r="K98" s="1"/>
      <c r="L98" s="1"/>
      <c r="M98" s="1"/>
      <c r="N98" s="1"/>
    </row>
    <row r="99" spans="1:14" ht="14.5" x14ac:dyDescent="0.35">
      <c r="A99" s="192" t="s">
        <v>13</v>
      </c>
      <c r="B99" s="193">
        <v>45464</v>
      </c>
      <c r="C99" s="205">
        <v>2065</v>
      </c>
      <c r="D99" s="206">
        <v>0</v>
      </c>
      <c r="E99" s="207">
        <v>0</v>
      </c>
      <c r="F99" s="207">
        <v>0</v>
      </c>
      <c r="G99" s="207" t="s">
        <v>1080</v>
      </c>
      <c r="H99" s="208">
        <v>10</v>
      </c>
      <c r="I99" s="1"/>
      <c r="J99" s="1"/>
      <c r="K99" s="1"/>
      <c r="L99" s="1"/>
      <c r="M99" s="1"/>
      <c r="N99" s="1"/>
    </row>
    <row r="100" spans="1:14" ht="14.5" x14ac:dyDescent="0.35">
      <c r="A100" s="192" t="s">
        <v>16</v>
      </c>
      <c r="B100" s="193">
        <v>45465</v>
      </c>
      <c r="C100" s="209">
        <v>3049</v>
      </c>
      <c r="D100" s="210">
        <v>298</v>
      </c>
      <c r="E100" s="211">
        <v>0</v>
      </c>
      <c r="F100" s="211">
        <v>2</v>
      </c>
      <c r="G100" s="211" t="s">
        <v>1080</v>
      </c>
      <c r="H100" s="241">
        <v>13</v>
      </c>
      <c r="I100" s="1"/>
      <c r="J100" s="1"/>
      <c r="K100" s="1"/>
      <c r="L100" s="1"/>
      <c r="M100" s="1"/>
      <c r="N100" s="1"/>
    </row>
    <row r="101" spans="1:14" ht="14.5" x14ac:dyDescent="0.35">
      <c r="A101" s="192" t="s">
        <v>18</v>
      </c>
      <c r="B101" s="193">
        <v>45466</v>
      </c>
      <c r="C101" s="233"/>
      <c r="D101" s="234"/>
      <c r="E101" s="235"/>
      <c r="F101" s="235"/>
      <c r="G101" s="235"/>
      <c r="H101" s="236"/>
      <c r="I101" s="1"/>
      <c r="J101" s="1"/>
      <c r="K101" s="1"/>
      <c r="L101" s="1"/>
      <c r="M101" s="1"/>
      <c r="N101" s="1"/>
    </row>
    <row r="102" spans="1:14" ht="14.5" x14ac:dyDescent="0.35">
      <c r="A102" s="192" t="s">
        <v>20</v>
      </c>
      <c r="B102" s="193">
        <v>45467</v>
      </c>
      <c r="C102" s="237">
        <v>1747</v>
      </c>
      <c r="D102" s="238">
        <v>29</v>
      </c>
      <c r="E102" s="239">
        <v>0</v>
      </c>
      <c r="F102" s="239">
        <v>1</v>
      </c>
      <c r="G102" s="239" t="s">
        <v>1081</v>
      </c>
      <c r="H102" s="240">
        <v>17</v>
      </c>
      <c r="I102" s="1"/>
      <c r="J102" s="1"/>
      <c r="K102" s="1"/>
      <c r="L102" s="1"/>
      <c r="M102" s="1"/>
      <c r="N102" s="1"/>
    </row>
    <row r="103" spans="1:14" ht="14.5" x14ac:dyDescent="0.35">
      <c r="A103" s="192" t="s">
        <v>22</v>
      </c>
      <c r="B103" s="193">
        <v>45468</v>
      </c>
      <c r="C103" s="233">
        <v>2896</v>
      </c>
      <c r="D103" s="234">
        <v>29</v>
      </c>
      <c r="E103" s="235">
        <v>0</v>
      </c>
      <c r="F103" s="235">
        <v>1</v>
      </c>
      <c r="G103" s="235" t="s">
        <v>1082</v>
      </c>
      <c r="H103" s="236">
        <v>13</v>
      </c>
      <c r="I103" s="1"/>
      <c r="J103" s="1"/>
      <c r="K103" s="1"/>
      <c r="L103" s="1"/>
      <c r="M103" s="72"/>
      <c r="N103" s="1"/>
    </row>
    <row r="104" spans="1:14" ht="14.5" x14ac:dyDescent="0.35">
      <c r="A104" s="192" t="s">
        <v>24</v>
      </c>
      <c r="B104" s="193">
        <v>45469</v>
      </c>
      <c r="C104" s="209">
        <v>2675</v>
      </c>
      <c r="D104" s="210">
        <v>58</v>
      </c>
      <c r="E104" s="211">
        <v>0</v>
      </c>
      <c r="F104" s="211">
        <v>3</v>
      </c>
      <c r="G104" s="211" t="s">
        <v>1083</v>
      </c>
      <c r="H104" s="241">
        <v>9</v>
      </c>
      <c r="I104" s="1"/>
      <c r="J104" s="1"/>
      <c r="K104" s="1"/>
      <c r="L104" s="1"/>
      <c r="M104" s="72"/>
      <c r="N104" s="1"/>
    </row>
    <row r="105" spans="1:14" ht="14.5" x14ac:dyDescent="0.35">
      <c r="A105" s="192" t="s">
        <v>10</v>
      </c>
      <c r="B105" s="193">
        <v>45470</v>
      </c>
      <c r="C105" s="214">
        <v>1265</v>
      </c>
      <c r="D105" s="195">
        <v>29</v>
      </c>
      <c r="E105" s="215">
        <v>0</v>
      </c>
      <c r="F105" s="215">
        <v>0</v>
      </c>
      <c r="G105" s="215" t="s">
        <v>1084</v>
      </c>
      <c r="H105" s="271">
        <v>9</v>
      </c>
      <c r="I105" s="1"/>
      <c r="J105" s="1"/>
      <c r="K105" s="1"/>
      <c r="L105" s="1"/>
      <c r="M105" s="1"/>
      <c r="N105" s="1"/>
    </row>
    <row r="106" spans="1:14" ht="14.5" x14ac:dyDescent="0.35">
      <c r="A106" s="192" t="s">
        <v>13</v>
      </c>
      <c r="B106" s="193">
        <v>45471</v>
      </c>
      <c r="C106" s="212">
        <v>2446</v>
      </c>
      <c r="D106" s="213">
        <v>125</v>
      </c>
      <c r="E106" s="203">
        <v>0</v>
      </c>
      <c r="F106" s="203">
        <v>2</v>
      </c>
      <c r="G106" s="215" t="s">
        <v>1083</v>
      </c>
      <c r="H106" s="204">
        <v>15</v>
      </c>
      <c r="I106" s="1"/>
      <c r="J106" s="1"/>
      <c r="M106" s="1"/>
      <c r="N106" s="1"/>
    </row>
    <row r="107" spans="1:14" ht="14.5" x14ac:dyDescent="0.35">
      <c r="A107" s="192" t="s">
        <v>16</v>
      </c>
      <c r="B107" s="193">
        <v>45472</v>
      </c>
      <c r="C107" s="233">
        <v>2718</v>
      </c>
      <c r="D107" s="195">
        <v>29</v>
      </c>
      <c r="E107" s="215">
        <v>0</v>
      </c>
      <c r="F107" s="247">
        <v>6</v>
      </c>
      <c r="G107" s="262" t="s">
        <v>1085</v>
      </c>
      <c r="H107" s="216">
        <v>24</v>
      </c>
      <c r="I107" s="1"/>
      <c r="J107" s="1"/>
      <c r="M107" s="1"/>
      <c r="N107" s="1"/>
    </row>
    <row r="108" spans="1:14" ht="14.5" x14ac:dyDescent="0.35">
      <c r="A108" s="192" t="s">
        <v>18</v>
      </c>
      <c r="B108" s="193">
        <v>45473</v>
      </c>
      <c r="C108" s="212"/>
      <c r="D108" s="213"/>
      <c r="E108" s="203"/>
      <c r="F108" s="203"/>
      <c r="G108" s="203"/>
      <c r="H108" s="204"/>
      <c r="I108" s="1"/>
      <c r="J108" s="1"/>
      <c r="M108" s="1"/>
      <c r="N108" s="1"/>
    </row>
    <row r="109" spans="1:14" thickBot="1" x14ac:dyDescent="0.4">
      <c r="A109" s="192"/>
      <c r="B109" s="193"/>
      <c r="C109" s="264"/>
      <c r="D109" s="265"/>
      <c r="E109" s="266"/>
      <c r="F109" s="266"/>
      <c r="G109" s="266" t="s">
        <v>991</v>
      </c>
      <c r="H109" s="267"/>
      <c r="I109" s="1"/>
      <c r="J109" s="1"/>
      <c r="M109" s="1"/>
      <c r="N109" s="1"/>
    </row>
    <row r="110" spans="1:14" thickBot="1" x14ac:dyDescent="0.4">
      <c r="A110" s="257"/>
      <c r="B110" s="268"/>
      <c r="C110" s="258">
        <f>SUM(C79:C109)</f>
        <v>58320</v>
      </c>
      <c r="D110" s="259">
        <f>SUM(D79:D109)</f>
        <v>1684</v>
      </c>
      <c r="E110" s="260">
        <f>SUM(E79:E109)</f>
        <v>0</v>
      </c>
      <c r="F110" s="260">
        <f>SUM(F79:F109)</f>
        <v>26</v>
      </c>
      <c r="G110" s="261"/>
      <c r="H110" s="261">
        <f>SUM(H79:H109)</f>
        <v>313</v>
      </c>
      <c r="I110" s="72"/>
      <c r="J110" s="72"/>
      <c r="K110" s="1"/>
      <c r="L110" s="1"/>
      <c r="M110" s="1"/>
      <c r="N110" s="1"/>
    </row>
    <row r="111" spans="1:14" ht="14.5" x14ac:dyDescent="0.35">
      <c r="A111" s="1"/>
      <c r="B111" s="84"/>
      <c r="C111" s="72"/>
      <c r="D111" s="87"/>
      <c r="E111" s="88"/>
      <c r="F111" s="1"/>
      <c r="G111" s="1"/>
      <c r="H111" s="1"/>
      <c r="I111" s="1"/>
      <c r="J111" s="1"/>
      <c r="K111" s="1"/>
      <c r="L111" s="1"/>
      <c r="M111" s="1"/>
    </row>
    <row r="112" spans="1:14" ht="14.5" x14ac:dyDescent="0.35">
      <c r="A112" s="1"/>
      <c r="B112" s="84"/>
      <c r="C112" s="110"/>
      <c r="D112" s="72"/>
      <c r="E112" s="1"/>
      <c r="F112" s="1"/>
      <c r="G112" s="1"/>
      <c r="H112" s="1"/>
      <c r="I112" s="1"/>
      <c r="J112" s="1"/>
      <c r="K112" s="1"/>
      <c r="L112" s="1"/>
      <c r="M112" s="1"/>
    </row>
    <row r="113" spans="1:13" thickBot="1" x14ac:dyDescent="0.4">
      <c r="A113" s="1"/>
      <c r="B113" s="84"/>
      <c r="C113" s="72"/>
      <c r="D113" s="1"/>
      <c r="E113" s="72"/>
      <c r="F113" s="1"/>
      <c r="G113" s="1"/>
      <c r="H113" s="1"/>
      <c r="I113" s="1"/>
      <c r="J113" s="1"/>
      <c r="K113" s="1"/>
      <c r="L113" s="1"/>
      <c r="M113" s="1"/>
    </row>
    <row r="114" spans="1:13" ht="14.5" x14ac:dyDescent="0.35">
      <c r="A114" s="924" t="s">
        <v>85</v>
      </c>
      <c r="B114" s="938"/>
      <c r="C114" s="933" t="s">
        <v>1</v>
      </c>
      <c r="D114" s="944"/>
      <c r="E114" s="945"/>
      <c r="F114" s="262"/>
      <c r="G114" s="1"/>
      <c r="H114" s="1"/>
      <c r="I114" s="1"/>
      <c r="J114" s="1"/>
      <c r="K114" s="1"/>
      <c r="L114" s="1"/>
      <c r="M114" s="1"/>
    </row>
    <row r="115" spans="1:13" thickBot="1" x14ac:dyDescent="0.4">
      <c r="A115" s="939"/>
      <c r="B115" s="940"/>
      <c r="C115" s="946"/>
      <c r="D115" s="947"/>
      <c r="E115" s="949"/>
      <c r="F115" s="262"/>
      <c r="G115" s="1"/>
      <c r="H115" s="1"/>
      <c r="I115" s="1"/>
      <c r="J115" s="1"/>
      <c r="K115" s="1"/>
      <c r="L115" s="1"/>
      <c r="M115" s="1"/>
    </row>
    <row r="116" spans="1:13" ht="15.65" customHeight="1" x14ac:dyDescent="0.4">
      <c r="A116" s="939"/>
      <c r="B116" s="941"/>
      <c r="C116" s="921" t="s">
        <v>88</v>
      </c>
      <c r="D116" s="272" t="s">
        <v>89</v>
      </c>
      <c r="E116" s="273" t="s">
        <v>90</v>
      </c>
      <c r="F116" s="274" t="s">
        <v>91</v>
      </c>
      <c r="G116" s="1"/>
      <c r="H116" s="1"/>
      <c r="I116" s="1"/>
      <c r="J116" s="1"/>
      <c r="K116" s="1"/>
      <c r="L116" s="1"/>
      <c r="M116" s="1"/>
    </row>
    <row r="117" spans="1:13" ht="14.5" x14ac:dyDescent="0.35">
      <c r="A117" s="942"/>
      <c r="B117" s="943"/>
      <c r="C117" s="948"/>
      <c r="D117" s="275" t="s">
        <v>7</v>
      </c>
      <c r="E117" s="276" t="s">
        <v>0</v>
      </c>
      <c r="F117" s="277" t="s">
        <v>0</v>
      </c>
      <c r="G117" s="1"/>
      <c r="H117" s="1"/>
      <c r="I117" s="1"/>
      <c r="J117" s="1"/>
      <c r="K117" s="1"/>
      <c r="L117" s="1"/>
      <c r="M117" s="1"/>
    </row>
    <row r="118" spans="1:13" ht="14.5" x14ac:dyDescent="0.35">
      <c r="A118" s="192" t="s">
        <v>16</v>
      </c>
      <c r="B118" s="193">
        <v>45444</v>
      </c>
      <c r="C118" s="192">
        <v>160</v>
      </c>
      <c r="D118" s="197">
        <v>6</v>
      </c>
      <c r="E118" s="199">
        <v>0</v>
      </c>
      <c r="F118" s="199">
        <v>1</v>
      </c>
      <c r="G118" s="1"/>
      <c r="H118" s="1"/>
      <c r="I118" s="1"/>
      <c r="J118" s="1"/>
      <c r="K118" s="1"/>
      <c r="L118" s="1"/>
      <c r="M118" s="1"/>
    </row>
    <row r="119" spans="1:13" ht="14.5" x14ac:dyDescent="0.35">
      <c r="A119" s="192" t="s">
        <v>18</v>
      </c>
      <c r="B119" s="193">
        <v>45445</v>
      </c>
      <c r="C119" s="278"/>
      <c r="D119" s="279"/>
      <c r="E119" s="204"/>
      <c r="F119" s="204"/>
      <c r="G119" s="1"/>
      <c r="H119" s="1"/>
      <c r="I119" s="1"/>
      <c r="J119" s="1"/>
      <c r="K119" s="1"/>
      <c r="L119" s="1"/>
      <c r="M119" s="1"/>
    </row>
    <row r="120" spans="1:13" ht="14.5" x14ac:dyDescent="0.35">
      <c r="A120" s="192" t="s">
        <v>20</v>
      </c>
      <c r="B120" s="193">
        <v>45446</v>
      </c>
      <c r="C120" s="280">
        <v>2630</v>
      </c>
      <c r="D120" s="197">
        <v>9</v>
      </c>
      <c r="E120" s="208">
        <v>0</v>
      </c>
      <c r="F120" s="208">
        <v>0</v>
      </c>
      <c r="G120" s="1"/>
      <c r="H120" s="1"/>
      <c r="I120" s="1"/>
      <c r="J120" s="1"/>
      <c r="K120" s="1"/>
      <c r="L120" s="1"/>
      <c r="M120" s="1"/>
    </row>
    <row r="121" spans="1:13" ht="14.5" x14ac:dyDescent="0.35">
      <c r="A121" s="192" t="s">
        <v>22</v>
      </c>
      <c r="B121" s="193">
        <v>45447</v>
      </c>
      <c r="C121" s="281">
        <v>2044</v>
      </c>
      <c r="D121" s="279">
        <v>20</v>
      </c>
      <c r="E121" s="241">
        <v>0</v>
      </c>
      <c r="F121" s="241">
        <v>0</v>
      </c>
      <c r="G121" s="1"/>
      <c r="H121" s="1"/>
      <c r="I121" s="1"/>
      <c r="J121" s="1"/>
      <c r="K121" s="1"/>
      <c r="L121" s="1"/>
      <c r="M121" s="1"/>
    </row>
    <row r="122" spans="1:13" ht="14.5" x14ac:dyDescent="0.35">
      <c r="A122" s="192" t="s">
        <v>24</v>
      </c>
      <c r="B122" s="193">
        <v>45448</v>
      </c>
      <c r="C122" s="280">
        <v>2882</v>
      </c>
      <c r="D122" s="197">
        <v>17</v>
      </c>
      <c r="E122" s="208">
        <v>0</v>
      </c>
      <c r="F122" s="208">
        <v>0</v>
      </c>
      <c r="G122" s="1"/>
      <c r="H122" s="1"/>
      <c r="I122" s="1"/>
      <c r="J122" s="1"/>
      <c r="K122" s="1"/>
      <c r="L122" s="1"/>
      <c r="M122" s="1"/>
    </row>
    <row r="123" spans="1:13" ht="14.5" x14ac:dyDescent="0.35">
      <c r="A123" s="192" t="s">
        <v>10</v>
      </c>
      <c r="B123" s="193">
        <v>45449</v>
      </c>
      <c r="C123" s="282">
        <v>2125</v>
      </c>
      <c r="D123" s="279">
        <v>12</v>
      </c>
      <c r="E123" s="204">
        <v>0</v>
      </c>
      <c r="F123" s="204">
        <v>1</v>
      </c>
      <c r="G123" s="1"/>
      <c r="H123" s="1"/>
      <c r="I123" s="1"/>
      <c r="J123" s="1"/>
      <c r="K123" s="1"/>
      <c r="L123" s="1"/>
      <c r="M123" s="1"/>
    </row>
    <row r="124" spans="1:13" ht="14.5" x14ac:dyDescent="0.35">
      <c r="A124" s="192" t="s">
        <v>13</v>
      </c>
      <c r="B124" s="193">
        <v>45450</v>
      </c>
      <c r="C124" s="283">
        <v>798</v>
      </c>
      <c r="D124" s="197">
        <v>14</v>
      </c>
      <c r="E124" s="216">
        <v>0</v>
      </c>
      <c r="F124" s="216">
        <v>0</v>
      </c>
      <c r="G124" s="1"/>
      <c r="H124" s="1"/>
      <c r="I124" s="1"/>
      <c r="J124" s="1"/>
      <c r="K124" s="1"/>
      <c r="L124" s="1"/>
      <c r="M124" s="1"/>
    </row>
    <row r="125" spans="1:13" ht="14.5" x14ac:dyDescent="0.35">
      <c r="A125" s="192" t="s">
        <v>16</v>
      </c>
      <c r="B125" s="193">
        <v>45451</v>
      </c>
      <c r="C125" s="284">
        <v>140</v>
      </c>
      <c r="D125" s="279">
        <v>7</v>
      </c>
      <c r="E125" s="220">
        <v>0</v>
      </c>
      <c r="F125" s="220">
        <v>1</v>
      </c>
      <c r="G125" s="1"/>
      <c r="H125" s="1"/>
      <c r="I125" s="1"/>
      <c r="J125" s="1"/>
      <c r="K125" s="1"/>
      <c r="L125" s="1"/>
      <c r="M125" s="1"/>
    </row>
    <row r="126" spans="1:13" ht="14.5" x14ac:dyDescent="0.35">
      <c r="A126" s="192" t="s">
        <v>18</v>
      </c>
      <c r="B126" s="193">
        <v>45452</v>
      </c>
      <c r="C126" s="285"/>
      <c r="D126" s="197"/>
      <c r="E126" s="224"/>
      <c r="F126" s="224"/>
      <c r="G126" s="1"/>
      <c r="H126" s="1"/>
      <c r="I126" s="1"/>
      <c r="J126" s="1"/>
      <c r="K126" s="1"/>
      <c r="L126" s="1"/>
      <c r="M126" s="1"/>
    </row>
    <row r="127" spans="1:13" ht="14.5" x14ac:dyDescent="0.35">
      <c r="A127" s="192" t="s">
        <v>20</v>
      </c>
      <c r="B127" s="193">
        <v>45453</v>
      </c>
      <c r="C127" s="285">
        <v>2229</v>
      </c>
      <c r="D127" s="279">
        <v>7</v>
      </c>
      <c r="E127" s="228">
        <v>0</v>
      </c>
      <c r="F127" s="228">
        <v>0</v>
      </c>
      <c r="G127" s="1"/>
      <c r="H127" s="1"/>
      <c r="I127" s="1"/>
      <c r="J127" s="1"/>
      <c r="K127" s="1"/>
      <c r="L127" s="1"/>
      <c r="M127" s="1"/>
    </row>
    <row r="128" spans="1:13" ht="14.5" x14ac:dyDescent="0.35">
      <c r="A128" s="192" t="s">
        <v>22</v>
      </c>
      <c r="B128" s="193">
        <v>45454</v>
      </c>
      <c r="C128" s="285">
        <v>3749</v>
      </c>
      <c r="D128" s="197">
        <v>17</v>
      </c>
      <c r="E128" s="232">
        <v>0</v>
      </c>
      <c r="F128" s="232">
        <v>0</v>
      </c>
      <c r="G128" s="1"/>
      <c r="H128" s="1"/>
      <c r="I128" s="1"/>
      <c r="J128" s="1"/>
      <c r="K128" s="1"/>
      <c r="L128" s="1"/>
      <c r="M128" s="1"/>
    </row>
    <row r="129" spans="1:13" ht="14.5" x14ac:dyDescent="0.35">
      <c r="A129" s="192" t="s">
        <v>24</v>
      </c>
      <c r="B129" s="193">
        <v>45455</v>
      </c>
      <c r="C129" s="285">
        <v>1159</v>
      </c>
      <c r="D129" s="279">
        <v>7</v>
      </c>
      <c r="E129" s="228">
        <v>0</v>
      </c>
      <c r="F129" s="228">
        <v>0</v>
      </c>
      <c r="G129" s="1"/>
      <c r="H129" s="1"/>
      <c r="I129" s="1"/>
      <c r="J129" s="1"/>
      <c r="K129" s="1"/>
      <c r="L129" s="1"/>
      <c r="M129" s="1"/>
    </row>
    <row r="130" spans="1:13" ht="14.5" x14ac:dyDescent="0.35">
      <c r="A130" s="192" t="s">
        <v>10</v>
      </c>
      <c r="B130" s="193">
        <v>45456</v>
      </c>
      <c r="C130" s="285">
        <v>2663</v>
      </c>
      <c r="D130" s="197">
        <v>16</v>
      </c>
      <c r="E130" s="236">
        <v>0</v>
      </c>
      <c r="F130" s="236">
        <v>0</v>
      </c>
      <c r="G130" s="1"/>
      <c r="H130" s="1"/>
      <c r="I130" s="1"/>
      <c r="J130" s="1"/>
      <c r="K130" s="1"/>
      <c r="L130" s="1"/>
      <c r="M130" s="1"/>
    </row>
    <row r="131" spans="1:13" ht="14.5" x14ac:dyDescent="0.35">
      <c r="A131" s="192" t="s">
        <v>13</v>
      </c>
      <c r="B131" s="193">
        <v>45457</v>
      </c>
      <c r="C131" s="285">
        <v>2073</v>
      </c>
      <c r="D131" s="279">
        <v>14</v>
      </c>
      <c r="E131" s="228">
        <v>0</v>
      </c>
      <c r="F131" s="228">
        <v>0</v>
      </c>
      <c r="G131" s="1"/>
      <c r="H131" s="1"/>
      <c r="I131" s="1"/>
      <c r="J131" s="1"/>
      <c r="K131" s="1"/>
      <c r="L131" s="1"/>
      <c r="M131" s="1"/>
    </row>
    <row r="132" spans="1:13" ht="14.5" x14ac:dyDescent="0.35">
      <c r="A132" s="192" t="s">
        <v>16</v>
      </c>
      <c r="B132" s="193">
        <v>45458</v>
      </c>
      <c r="C132" s="285">
        <v>363</v>
      </c>
      <c r="D132" s="197">
        <v>5</v>
      </c>
      <c r="E132" s="236">
        <v>0</v>
      </c>
      <c r="F132" s="236">
        <v>0</v>
      </c>
      <c r="G132" s="1"/>
      <c r="H132" s="1"/>
      <c r="I132" s="1"/>
      <c r="J132" s="1"/>
      <c r="K132" s="1"/>
      <c r="L132" s="1"/>
      <c r="M132" s="1"/>
    </row>
    <row r="133" spans="1:13" ht="14.5" x14ac:dyDescent="0.35">
      <c r="A133" s="192" t="s">
        <v>18</v>
      </c>
      <c r="B133" s="193">
        <v>45459</v>
      </c>
      <c r="C133" s="285"/>
      <c r="D133" s="279"/>
      <c r="E133" s="204"/>
      <c r="F133" s="204"/>
      <c r="G133" s="1"/>
      <c r="H133" s="1"/>
      <c r="I133" s="1"/>
      <c r="J133" s="1"/>
      <c r="K133" s="1"/>
      <c r="L133" s="1"/>
      <c r="M133" s="1"/>
    </row>
    <row r="134" spans="1:13" ht="14.5" x14ac:dyDescent="0.35">
      <c r="A134" s="192" t="s">
        <v>20</v>
      </c>
      <c r="B134" s="193">
        <v>45460</v>
      </c>
      <c r="C134" s="285">
        <v>3825</v>
      </c>
      <c r="D134" s="286">
        <v>10</v>
      </c>
      <c r="E134" s="236">
        <v>0</v>
      </c>
      <c r="F134" s="236">
        <v>0</v>
      </c>
      <c r="G134" s="1"/>
      <c r="H134" s="1"/>
      <c r="I134" s="1"/>
      <c r="J134" s="1"/>
      <c r="K134" s="1"/>
      <c r="L134" s="1"/>
      <c r="M134" s="1"/>
    </row>
    <row r="135" spans="1:13" ht="14.5" x14ac:dyDescent="0.35">
      <c r="A135" s="192" t="s">
        <v>22</v>
      </c>
      <c r="B135" s="193">
        <v>45461</v>
      </c>
      <c r="C135" s="285">
        <v>2491</v>
      </c>
      <c r="D135" s="287">
        <v>24</v>
      </c>
      <c r="E135" s="240">
        <v>0</v>
      </c>
      <c r="F135" s="240">
        <v>0</v>
      </c>
      <c r="G135" s="1"/>
      <c r="H135" s="1"/>
      <c r="I135" s="1"/>
      <c r="J135" s="1"/>
      <c r="K135" s="1"/>
      <c r="L135" s="1"/>
      <c r="M135" s="1"/>
    </row>
    <row r="136" spans="1:13" ht="14.5" x14ac:dyDescent="0.35">
      <c r="A136" s="192" t="s">
        <v>24</v>
      </c>
      <c r="B136" s="193">
        <v>45462</v>
      </c>
      <c r="C136" s="285">
        <v>2595</v>
      </c>
      <c r="D136" s="288">
        <v>16</v>
      </c>
      <c r="E136" s="216">
        <v>0</v>
      </c>
      <c r="F136" s="216">
        <v>0</v>
      </c>
      <c r="G136" s="1"/>
      <c r="H136" s="1"/>
      <c r="I136" s="1"/>
      <c r="J136" s="1"/>
      <c r="K136" s="1"/>
      <c r="L136" s="1"/>
      <c r="M136" s="1"/>
    </row>
    <row r="137" spans="1:13" ht="14.5" x14ac:dyDescent="0.35">
      <c r="A137" s="192" t="s">
        <v>10</v>
      </c>
      <c r="B137" s="193">
        <v>45463</v>
      </c>
      <c r="C137" s="285">
        <v>1723</v>
      </c>
      <c r="D137" s="287">
        <v>12</v>
      </c>
      <c r="E137" s="240">
        <v>0</v>
      </c>
      <c r="F137" s="240">
        <v>0</v>
      </c>
      <c r="G137" s="1"/>
      <c r="H137" s="1"/>
      <c r="I137" s="1"/>
      <c r="J137" s="1"/>
      <c r="K137" s="1"/>
      <c r="L137" s="1"/>
      <c r="M137" s="1"/>
    </row>
    <row r="138" spans="1:13" ht="14.5" x14ac:dyDescent="0.35">
      <c r="A138" s="192" t="s">
        <v>13</v>
      </c>
      <c r="B138" s="193">
        <v>45464</v>
      </c>
      <c r="C138" s="285">
        <v>2532</v>
      </c>
      <c r="D138" s="286">
        <v>15</v>
      </c>
      <c r="E138" s="208">
        <v>0</v>
      </c>
      <c r="F138" s="208">
        <v>0</v>
      </c>
      <c r="G138" s="1"/>
      <c r="H138" s="1"/>
      <c r="I138" s="1"/>
      <c r="J138" s="1"/>
      <c r="K138" s="1"/>
      <c r="L138" s="1"/>
      <c r="M138" s="1"/>
    </row>
    <row r="139" spans="1:13" ht="14.5" x14ac:dyDescent="0.35">
      <c r="A139" s="192" t="s">
        <v>16</v>
      </c>
      <c r="B139" s="193">
        <v>45465</v>
      </c>
      <c r="C139" s="285">
        <v>320</v>
      </c>
      <c r="D139" s="287">
        <v>8</v>
      </c>
      <c r="E139" s="241">
        <v>0</v>
      </c>
      <c r="F139" s="241">
        <v>0</v>
      </c>
      <c r="G139" s="1"/>
      <c r="H139" s="1"/>
      <c r="I139" s="1"/>
      <c r="J139" s="1"/>
      <c r="K139" s="1"/>
      <c r="L139" s="1"/>
      <c r="M139" s="1"/>
    </row>
    <row r="140" spans="1:13" ht="14.5" x14ac:dyDescent="0.35">
      <c r="A140" s="192" t="s">
        <v>18</v>
      </c>
      <c r="B140" s="193">
        <v>45466</v>
      </c>
      <c r="C140" s="285"/>
      <c r="D140" s="286"/>
      <c r="E140" s="236"/>
      <c r="F140" s="236"/>
      <c r="G140" s="1"/>
      <c r="H140" s="1"/>
      <c r="I140" s="1"/>
      <c r="J140" s="1"/>
      <c r="K140" s="1"/>
      <c r="L140" s="1"/>
      <c r="M140" s="1"/>
    </row>
    <row r="141" spans="1:13" ht="14.5" x14ac:dyDescent="0.35">
      <c r="A141" s="192" t="s">
        <v>20</v>
      </c>
      <c r="B141" s="193">
        <v>45467</v>
      </c>
      <c r="C141" s="285">
        <v>2085</v>
      </c>
      <c r="D141" s="287">
        <v>9</v>
      </c>
      <c r="E141" s="240">
        <v>0</v>
      </c>
      <c r="F141" s="240">
        <v>0</v>
      </c>
      <c r="G141" s="1"/>
      <c r="H141" s="1"/>
      <c r="I141" s="1"/>
      <c r="J141" s="1"/>
      <c r="K141" s="1"/>
      <c r="L141" s="1"/>
      <c r="M141" s="1"/>
    </row>
    <row r="142" spans="1:13" ht="14.5" x14ac:dyDescent="0.35">
      <c r="A142" s="192" t="s">
        <v>22</v>
      </c>
      <c r="B142" s="193">
        <v>45468</v>
      </c>
      <c r="C142" s="285">
        <v>2130</v>
      </c>
      <c r="D142" s="286">
        <v>22</v>
      </c>
      <c r="E142" s="236">
        <v>0</v>
      </c>
      <c r="F142" s="236">
        <v>0</v>
      </c>
      <c r="G142" s="1"/>
      <c r="H142" s="1"/>
      <c r="I142" s="1"/>
      <c r="J142" s="1"/>
      <c r="K142" s="1"/>
      <c r="L142" s="1"/>
      <c r="M142" s="1"/>
    </row>
    <row r="143" spans="1:13" ht="14.5" x14ac:dyDescent="0.35">
      <c r="A143" s="192" t="s">
        <v>24</v>
      </c>
      <c r="B143" s="193">
        <v>45469</v>
      </c>
      <c r="C143" s="289">
        <v>4444</v>
      </c>
      <c r="D143" s="287">
        <v>24</v>
      </c>
      <c r="E143" s="241">
        <v>0</v>
      </c>
      <c r="F143" s="241">
        <v>1</v>
      </c>
      <c r="G143" s="1"/>
      <c r="H143" s="1"/>
      <c r="I143" s="1"/>
      <c r="J143" s="1"/>
      <c r="K143" s="1"/>
      <c r="L143" s="1"/>
      <c r="M143" s="1"/>
    </row>
    <row r="144" spans="1:13" ht="14.5" x14ac:dyDescent="0.35">
      <c r="A144" s="192" t="s">
        <v>10</v>
      </c>
      <c r="B144" s="193">
        <v>45470</v>
      </c>
      <c r="C144" s="290">
        <v>1884</v>
      </c>
      <c r="D144" s="286">
        <v>15</v>
      </c>
      <c r="E144" s="216">
        <v>0</v>
      </c>
      <c r="F144" s="216">
        <v>0</v>
      </c>
      <c r="G144" s="1"/>
      <c r="H144" s="1"/>
      <c r="I144" s="1"/>
      <c r="J144" s="1"/>
      <c r="K144" s="1"/>
      <c r="L144" s="1"/>
      <c r="M144" s="1"/>
    </row>
    <row r="145" spans="1:14" ht="14.5" x14ac:dyDescent="0.35">
      <c r="A145" s="192" t="s">
        <v>13</v>
      </c>
      <c r="B145" s="193">
        <v>45471</v>
      </c>
      <c r="C145" s="291">
        <v>400</v>
      </c>
      <c r="D145" s="287">
        <v>16</v>
      </c>
      <c r="E145" s="204">
        <v>0</v>
      </c>
      <c r="F145" s="204">
        <v>0</v>
      </c>
      <c r="G145" s="1"/>
      <c r="H145" s="1"/>
      <c r="I145" s="1"/>
      <c r="J145" s="1"/>
      <c r="K145" s="1"/>
      <c r="L145" s="1"/>
      <c r="M145" s="1"/>
    </row>
    <row r="146" spans="1:14" ht="14.5" x14ac:dyDescent="0.35">
      <c r="A146" s="192" t="s">
        <v>16</v>
      </c>
      <c r="B146" s="193">
        <v>45472</v>
      </c>
      <c r="C146" s="290">
        <v>0</v>
      </c>
      <c r="D146" s="286">
        <v>0</v>
      </c>
      <c r="E146" s="216">
        <v>0</v>
      </c>
      <c r="F146" s="216">
        <v>0</v>
      </c>
      <c r="G146" s="1"/>
      <c r="H146" s="1"/>
      <c r="I146" s="1"/>
      <c r="J146" s="1"/>
      <c r="K146" s="1"/>
      <c r="L146" s="1"/>
      <c r="M146" s="1"/>
    </row>
    <row r="147" spans="1:14" ht="14.5" x14ac:dyDescent="0.35">
      <c r="A147" s="192" t="s">
        <v>18</v>
      </c>
      <c r="B147" s="193">
        <v>45473</v>
      </c>
      <c r="C147" s="291"/>
      <c r="D147" s="287"/>
      <c r="E147" s="204"/>
      <c r="F147" s="204"/>
      <c r="G147" s="1"/>
      <c r="H147" s="1"/>
      <c r="I147" s="1"/>
      <c r="J147" s="1"/>
      <c r="K147" s="1"/>
      <c r="L147" s="1"/>
      <c r="M147" s="1"/>
    </row>
    <row r="148" spans="1:14" thickBot="1" x14ac:dyDescent="0.4">
      <c r="A148" s="192"/>
      <c r="B148" s="193"/>
      <c r="C148" s="292"/>
      <c r="D148" s="293"/>
      <c r="E148" s="267"/>
      <c r="F148" s="267"/>
      <c r="G148" s="1"/>
      <c r="H148" s="1"/>
      <c r="I148" s="1"/>
      <c r="J148" s="1"/>
      <c r="K148" s="1"/>
      <c r="L148" s="1"/>
      <c r="M148" s="1"/>
    </row>
    <row r="149" spans="1:14" ht="14.5" x14ac:dyDescent="0.35">
      <c r="A149" s="257"/>
      <c r="B149" s="268"/>
      <c r="C149" s="294">
        <f>SUM(C118:C148)</f>
        <v>47444</v>
      </c>
      <c r="D149" s="295">
        <f>SUM(D118:D148)</f>
        <v>322</v>
      </c>
      <c r="E149" s="296">
        <f>SUM(E118:E148)</f>
        <v>0</v>
      </c>
      <c r="F149" s="297">
        <f>SUM(F118:F148)</f>
        <v>4</v>
      </c>
      <c r="G149" s="1"/>
      <c r="H149" s="1"/>
      <c r="I149" s="1"/>
      <c r="J149" s="1"/>
      <c r="K149" s="1"/>
      <c r="L149" s="1"/>
      <c r="M149" s="1"/>
    </row>
    <row r="150" spans="1:14" ht="14.5" x14ac:dyDescent="0.35">
      <c r="A150" s="1"/>
      <c r="B150" s="84"/>
      <c r="C150" s="72"/>
      <c r="D150" s="1"/>
      <c r="E150" s="72"/>
      <c r="F150" s="72"/>
      <c r="G150" s="1"/>
      <c r="H150" s="1"/>
      <c r="I150" s="1"/>
      <c r="J150" s="1"/>
      <c r="K150" s="1"/>
      <c r="L150" s="1"/>
      <c r="M150" s="1"/>
    </row>
    <row r="151" spans="1:14" ht="14.5" x14ac:dyDescent="0.35">
      <c r="A151" s="1"/>
      <c r="B151" s="134"/>
      <c r="C151" s="72"/>
      <c r="D151" s="1"/>
      <c r="E151" s="72"/>
      <c r="F151" s="1"/>
      <c r="G151" s="1"/>
      <c r="H151" s="1"/>
      <c r="I151" s="1"/>
      <c r="J151" s="1"/>
      <c r="K151" s="1"/>
      <c r="L151" s="1"/>
      <c r="M151" s="1"/>
    </row>
    <row r="152" spans="1:14" ht="14.5" x14ac:dyDescent="0.35">
      <c r="A152" s="1"/>
      <c r="B152" s="1"/>
      <c r="C152" s="88"/>
      <c r="D152" s="88"/>
      <c r="E152" s="87"/>
      <c r="F152" s="88"/>
      <c r="G152" s="88"/>
      <c r="H152" s="1"/>
      <c r="I152" s="1"/>
      <c r="J152" s="1"/>
      <c r="K152" s="1"/>
      <c r="L152" s="1"/>
      <c r="M152" s="1"/>
    </row>
    <row r="153" spans="1:14" ht="14.5" x14ac:dyDescent="0.35">
      <c r="A153" s="135"/>
      <c r="B153" s="336" t="s">
        <v>104</v>
      </c>
      <c r="C153" s="333" t="s">
        <v>93</v>
      </c>
      <c r="D153" s="88"/>
      <c r="E153" s="88"/>
      <c r="F153" s="88"/>
      <c r="G153" s="88"/>
      <c r="H153" s="88"/>
      <c r="I153" s="301" t="s">
        <v>111</v>
      </c>
      <c r="J153" s="302" t="s">
        <v>112</v>
      </c>
      <c r="K153" s="302" t="s">
        <v>113</v>
      </c>
      <c r="L153" s="302" t="s">
        <v>114</v>
      </c>
      <c r="M153" s="340" t="s">
        <v>103</v>
      </c>
      <c r="N153" s="342" t="s">
        <v>98</v>
      </c>
    </row>
    <row r="154" spans="1:14" ht="14.5" x14ac:dyDescent="0.35">
      <c r="A154" s="140" t="s">
        <v>99</v>
      </c>
      <c r="B154" s="337">
        <f>C35/25*25</f>
        <v>72030</v>
      </c>
      <c r="C154" s="334">
        <f>B154-70000</f>
        <v>2030</v>
      </c>
      <c r="D154" s="331"/>
      <c r="E154" s="332"/>
      <c r="F154" s="72"/>
      <c r="G154" s="1"/>
      <c r="H154" s="1"/>
      <c r="I154" s="343">
        <v>59678</v>
      </c>
      <c r="J154" s="146">
        <v>65325</v>
      </c>
      <c r="K154" s="147">
        <v>71363</v>
      </c>
      <c r="L154" s="147">
        <v>75374</v>
      </c>
      <c r="M154" s="344">
        <v>72600</v>
      </c>
      <c r="N154" s="341">
        <f>AVERAGE(I154:M154)</f>
        <v>68868</v>
      </c>
    </row>
    <row r="155" spans="1:14" ht="14.5" x14ac:dyDescent="0.35">
      <c r="A155" s="148" t="s">
        <v>37</v>
      </c>
      <c r="B155" s="337">
        <f>C74/25*25</f>
        <v>49420</v>
      </c>
      <c r="C155" s="335">
        <f>B155-53000</f>
        <v>-3580</v>
      </c>
      <c r="D155" s="331"/>
      <c r="E155" s="332"/>
      <c r="F155" s="72"/>
      <c r="G155" s="1"/>
      <c r="H155" s="1"/>
      <c r="I155" s="343">
        <v>43365</v>
      </c>
      <c r="J155" s="146">
        <v>38287</v>
      </c>
      <c r="K155" s="147">
        <v>45858</v>
      </c>
      <c r="L155" s="147">
        <v>55612</v>
      </c>
      <c r="M155" s="344">
        <v>53980</v>
      </c>
      <c r="N155" s="330">
        <f>AVERAGE(I155:M155)</f>
        <v>47420.4</v>
      </c>
    </row>
    <row r="156" spans="1:14" ht="14.5" x14ac:dyDescent="0.35">
      <c r="A156" s="148" t="s">
        <v>100</v>
      </c>
      <c r="B156" s="337">
        <f>C110/25*25</f>
        <v>58320.000000000007</v>
      </c>
      <c r="C156" s="334">
        <f>B156-56000</f>
        <v>2320.0000000000073</v>
      </c>
      <c r="D156" s="331"/>
      <c r="E156" s="332"/>
      <c r="F156" s="72"/>
      <c r="G156" s="1"/>
      <c r="H156" s="1"/>
      <c r="I156" s="343">
        <v>43344</v>
      </c>
      <c r="J156" s="146">
        <v>54088</v>
      </c>
      <c r="K156" s="147">
        <v>56961</v>
      </c>
      <c r="L156" s="147">
        <v>56144</v>
      </c>
      <c r="M156" s="344">
        <v>54118</v>
      </c>
      <c r="N156" s="330">
        <f>AVERAGE(I156:M156)</f>
        <v>52931</v>
      </c>
    </row>
    <row r="157" spans="1:14" ht="14.5" x14ac:dyDescent="0.35">
      <c r="A157" s="149" t="s">
        <v>88</v>
      </c>
      <c r="B157" s="337">
        <f>C149/25*25</f>
        <v>47444</v>
      </c>
      <c r="C157" s="339"/>
      <c r="D157" s="1"/>
      <c r="E157" s="72"/>
      <c r="F157" s="1"/>
      <c r="G157" s="1"/>
      <c r="H157" s="1"/>
      <c r="I157" s="343">
        <v>34063</v>
      </c>
      <c r="J157" s="146">
        <v>44190</v>
      </c>
      <c r="K157" s="147">
        <v>32129</v>
      </c>
      <c r="L157" s="147">
        <v>67460</v>
      </c>
      <c r="M157" s="344">
        <v>57984</v>
      </c>
      <c r="N157" s="330">
        <f>AVERAGE(I157:M157)</f>
        <v>47165.2</v>
      </c>
    </row>
    <row r="158" spans="1:14" ht="14.5" x14ac:dyDescent="0.35">
      <c r="A158" s="151" t="s">
        <v>101</v>
      </c>
      <c r="B158" s="338">
        <f>SUM(B154:B157)</f>
        <v>227214</v>
      </c>
      <c r="C158" s="345">
        <f>SUM(C154:C156)</f>
        <v>770.00000000000728</v>
      </c>
      <c r="D158" s="1"/>
      <c r="E158" s="1"/>
      <c r="F158" s="1"/>
      <c r="G158" s="1"/>
      <c r="H158" s="1"/>
      <c r="I158" s="303">
        <v>180450</v>
      </c>
      <c r="J158" s="154">
        <f>SUM(J154:J157)</f>
        <v>201890</v>
      </c>
      <c r="K158" s="154">
        <f>SUM(K154:K157)</f>
        <v>206311</v>
      </c>
      <c r="L158" s="154">
        <f>SUM(L154:L157)</f>
        <v>254590</v>
      </c>
      <c r="M158" s="304">
        <f>SUM(M154:M157)</f>
        <v>238682</v>
      </c>
    </row>
    <row r="159" spans="1:14" ht="14.5" x14ac:dyDescent="0.35">
      <c r="A159" s="155"/>
      <c r="B159" s="156">
        <f>B158/25</f>
        <v>9088.56</v>
      </c>
      <c r="C159" s="157"/>
      <c r="D159" s="155"/>
      <c r="E159" s="155"/>
      <c r="F159" s="155"/>
      <c r="G159" s="155"/>
      <c r="H159" s="155"/>
      <c r="I159" s="305">
        <f>I158/27</f>
        <v>6683.333333333333</v>
      </c>
      <c r="J159" s="158">
        <f>J158/25</f>
        <v>8075.6</v>
      </c>
      <c r="K159" s="158">
        <f>K158/26</f>
        <v>7935.0384615384619</v>
      </c>
      <c r="L159" s="158">
        <f>L158/26</f>
        <v>9791.9230769230762</v>
      </c>
      <c r="M159" s="306">
        <f>M158/26</f>
        <v>9180.0769230769238</v>
      </c>
    </row>
    <row r="160" spans="1:14" ht="14.5" x14ac:dyDescent="0.35">
      <c r="A160" s="1"/>
      <c r="B160" s="1"/>
      <c r="C160" s="1"/>
      <c r="D160" s="1"/>
      <c r="E160" s="1"/>
      <c r="F160" s="1"/>
      <c r="G160" s="1"/>
      <c r="H160" s="1"/>
      <c r="I160" s="307"/>
      <c r="J160" s="1"/>
      <c r="K160" s="1"/>
      <c r="L160" s="1"/>
      <c r="M160" s="308"/>
    </row>
    <row r="161" spans="1:14" ht="14.5" x14ac:dyDescent="0.35">
      <c r="A161" s="159" t="s">
        <v>102</v>
      </c>
      <c r="B161" s="159" t="s">
        <v>117</v>
      </c>
      <c r="C161" s="159" t="s">
        <v>118</v>
      </c>
      <c r="D161" s="159" t="s">
        <v>119</v>
      </c>
      <c r="E161" s="159" t="s">
        <v>120</v>
      </c>
      <c r="F161" s="159" t="s">
        <v>121</v>
      </c>
      <c r="G161" s="159" t="s">
        <v>122</v>
      </c>
      <c r="H161" s="324" t="s">
        <v>123</v>
      </c>
      <c r="I161" s="309" t="s">
        <v>124</v>
      </c>
      <c r="J161" s="159" t="s">
        <v>125</v>
      </c>
      <c r="K161" s="159" t="s">
        <v>126</v>
      </c>
      <c r="L161" s="159" t="s">
        <v>127</v>
      </c>
      <c r="M161" s="310" t="s">
        <v>116</v>
      </c>
      <c r="N161" s="342" t="s">
        <v>98</v>
      </c>
    </row>
    <row r="162" spans="1:14" ht="14.5" x14ac:dyDescent="0.35">
      <c r="A162" s="160" t="s">
        <v>99</v>
      </c>
      <c r="B162" s="160">
        <v>63950</v>
      </c>
      <c r="C162" s="160">
        <v>73973</v>
      </c>
      <c r="D162" s="160">
        <v>63776</v>
      </c>
      <c r="E162" s="160">
        <v>62209</v>
      </c>
      <c r="F162" s="160">
        <v>61961</v>
      </c>
      <c r="G162" s="160">
        <v>62927</v>
      </c>
      <c r="H162" s="325">
        <v>50792</v>
      </c>
      <c r="I162" s="311">
        <v>55786</v>
      </c>
      <c r="J162" s="160">
        <v>48081</v>
      </c>
      <c r="K162" s="160">
        <v>66142</v>
      </c>
      <c r="L162" s="160">
        <v>58127</v>
      </c>
      <c r="M162" s="325">
        <v>74979</v>
      </c>
      <c r="N162" s="330">
        <f>AVERAGE(B162:M162)</f>
        <v>61891.916666666664</v>
      </c>
    </row>
    <row r="163" spans="1:14" ht="14.5" x14ac:dyDescent="0.35">
      <c r="A163" s="160" t="s">
        <v>37</v>
      </c>
      <c r="B163" s="160">
        <v>44783</v>
      </c>
      <c r="C163" s="160">
        <v>58612</v>
      </c>
      <c r="D163" s="160">
        <v>59247</v>
      </c>
      <c r="E163" s="160">
        <v>49882</v>
      </c>
      <c r="F163" s="160">
        <v>42564</v>
      </c>
      <c r="G163" s="160">
        <v>44217</v>
      </c>
      <c r="H163" s="325">
        <v>42911</v>
      </c>
      <c r="I163" s="311">
        <v>40388</v>
      </c>
      <c r="J163" s="160">
        <v>32034</v>
      </c>
      <c r="K163" s="160">
        <v>38086</v>
      </c>
      <c r="L163" s="160">
        <v>42706</v>
      </c>
      <c r="M163" s="325">
        <v>48870</v>
      </c>
      <c r="N163" s="330">
        <f>AVERAGE(B163:M163)</f>
        <v>45358.333333333336</v>
      </c>
    </row>
    <row r="164" spans="1:14" ht="14.5" x14ac:dyDescent="0.35">
      <c r="A164" s="160" t="s">
        <v>100</v>
      </c>
      <c r="B164" s="160">
        <v>41827</v>
      </c>
      <c r="C164" s="160">
        <v>48432</v>
      </c>
      <c r="D164" s="160">
        <v>45807</v>
      </c>
      <c r="E164" s="160">
        <v>47219</v>
      </c>
      <c r="F164" s="160">
        <v>49140</v>
      </c>
      <c r="G164" s="160">
        <v>45889</v>
      </c>
      <c r="H164" s="325">
        <v>42002</v>
      </c>
      <c r="I164" s="311">
        <v>29164</v>
      </c>
      <c r="J164" s="160">
        <v>24425</v>
      </c>
      <c r="K164" s="160">
        <v>32384</v>
      </c>
      <c r="L164" s="160">
        <v>26635</v>
      </c>
      <c r="M164" s="325">
        <v>38487</v>
      </c>
      <c r="N164" s="330">
        <f>AVERAGE(B164:M164)</f>
        <v>39284.25</v>
      </c>
    </row>
    <row r="165" spans="1:14" ht="14.5" x14ac:dyDescent="0.35">
      <c r="A165" s="160" t="s">
        <v>88</v>
      </c>
      <c r="B165" s="160">
        <v>92550</v>
      </c>
      <c r="C165" s="160">
        <v>102728</v>
      </c>
      <c r="D165" s="160">
        <v>102029</v>
      </c>
      <c r="E165" s="160">
        <v>73495</v>
      </c>
      <c r="F165" s="160">
        <v>77358</v>
      </c>
      <c r="G165" s="160">
        <v>75185</v>
      </c>
      <c r="H165" s="325">
        <v>62889</v>
      </c>
      <c r="I165" s="311">
        <v>78647</v>
      </c>
      <c r="J165" s="160">
        <v>71233</v>
      </c>
      <c r="K165" s="160">
        <v>80881</v>
      </c>
      <c r="L165" s="160">
        <v>89693</v>
      </c>
      <c r="M165" s="325">
        <v>115741.16666666666</v>
      </c>
      <c r="N165" s="330">
        <f>AVERAGE(B165:M165)</f>
        <v>85202.430555555547</v>
      </c>
    </row>
    <row r="166" spans="1:14" ht="14.5" x14ac:dyDescent="0.35">
      <c r="A166" s="161" t="s">
        <v>101</v>
      </c>
      <c r="B166" s="162">
        <f>SUM(B162:B165)</f>
        <v>243110</v>
      </c>
      <c r="C166" s="162">
        <v>283745</v>
      </c>
      <c r="D166" s="162">
        <v>270859</v>
      </c>
      <c r="E166" s="162">
        <v>232805</v>
      </c>
      <c r="F166" s="162">
        <v>231023</v>
      </c>
      <c r="G166" s="162">
        <v>228218</v>
      </c>
      <c r="H166" s="326">
        <v>198594</v>
      </c>
      <c r="I166" s="312">
        <v>203985</v>
      </c>
      <c r="J166" s="162">
        <v>175773</v>
      </c>
      <c r="K166" s="162">
        <v>217493</v>
      </c>
      <c r="L166" s="162">
        <v>217161</v>
      </c>
      <c r="M166" s="313">
        <f>SUM(M162:M165)</f>
        <v>278077.16666666663</v>
      </c>
    </row>
    <row r="167" spans="1:14" ht="14.5" x14ac:dyDescent="0.35">
      <c r="A167" s="163" t="s">
        <v>607</v>
      </c>
      <c r="B167" s="165"/>
      <c r="C167" s="165"/>
      <c r="D167" s="165"/>
      <c r="E167" s="165"/>
      <c r="F167" s="165"/>
      <c r="G167" s="165"/>
      <c r="H167" s="165"/>
      <c r="I167" s="314"/>
      <c r="J167" s="165"/>
      <c r="K167" s="165"/>
      <c r="L167" s="165"/>
      <c r="M167" s="315"/>
    </row>
    <row r="168" spans="1:14" ht="14.5" x14ac:dyDescent="0.35">
      <c r="A168" s="155"/>
      <c r="B168" s="155"/>
      <c r="C168" s="155"/>
      <c r="D168" s="155"/>
      <c r="E168" s="155"/>
      <c r="F168" s="155"/>
      <c r="G168" s="155"/>
      <c r="H168" s="155"/>
      <c r="I168" s="316"/>
      <c r="J168" s="155"/>
      <c r="K168" s="155"/>
      <c r="L168" s="155"/>
      <c r="M168" s="317"/>
    </row>
    <row r="169" spans="1:14" ht="14.5" x14ac:dyDescent="0.35">
      <c r="A169" s="159" t="s">
        <v>102</v>
      </c>
      <c r="B169" s="159" t="s">
        <v>129</v>
      </c>
      <c r="C169" s="159" t="s">
        <v>130</v>
      </c>
      <c r="D169" s="159" t="s">
        <v>131</v>
      </c>
      <c r="E169" s="159" t="s">
        <v>132</v>
      </c>
      <c r="F169" s="159" t="s">
        <v>133</v>
      </c>
      <c r="G169" s="159" t="s">
        <v>134</v>
      </c>
      <c r="H169" s="324" t="s">
        <v>135</v>
      </c>
      <c r="I169" s="318" t="s">
        <v>136</v>
      </c>
      <c r="J169" s="159" t="s">
        <v>137</v>
      </c>
      <c r="K169" s="159" t="s">
        <v>138</v>
      </c>
      <c r="L169" s="159" t="s">
        <v>139</v>
      </c>
      <c r="M169" s="310" t="s">
        <v>128</v>
      </c>
      <c r="N169" s="342" t="s">
        <v>98</v>
      </c>
    </row>
    <row r="170" spans="1:14" ht="14.5" x14ac:dyDescent="0.35">
      <c r="A170" s="167" t="s">
        <v>99</v>
      </c>
      <c r="B170" s="168">
        <v>53324</v>
      </c>
      <c r="C170" s="168">
        <v>61519</v>
      </c>
      <c r="D170" s="168">
        <v>70743</v>
      </c>
      <c r="E170" s="169">
        <v>55027</v>
      </c>
      <c r="F170" s="169">
        <v>54932</v>
      </c>
      <c r="G170" s="169">
        <v>43776</v>
      </c>
      <c r="H170" s="327">
        <v>49810</v>
      </c>
      <c r="I170" s="319">
        <v>75616</v>
      </c>
      <c r="J170" s="168">
        <v>68029</v>
      </c>
      <c r="K170" s="168">
        <v>59606</v>
      </c>
      <c r="L170" s="168">
        <v>63396</v>
      </c>
      <c r="M170" s="328">
        <v>52819.21</v>
      </c>
      <c r="N170" s="329">
        <f>AVERAGE(B170:M170)</f>
        <v>59049.767499999994</v>
      </c>
    </row>
    <row r="171" spans="1:14" ht="14.5" x14ac:dyDescent="0.35">
      <c r="A171" s="167" t="s">
        <v>37</v>
      </c>
      <c r="B171" s="168">
        <v>39860</v>
      </c>
      <c r="C171" s="168">
        <v>41717</v>
      </c>
      <c r="D171" s="168">
        <v>40181</v>
      </c>
      <c r="E171" s="169">
        <v>41079</v>
      </c>
      <c r="F171" s="169">
        <v>39875</v>
      </c>
      <c r="G171" s="169">
        <v>35835</v>
      </c>
      <c r="H171" s="327">
        <v>28946</v>
      </c>
      <c r="I171" s="319">
        <v>43422</v>
      </c>
      <c r="J171" s="168">
        <v>35147</v>
      </c>
      <c r="K171" s="168">
        <v>37370</v>
      </c>
      <c r="L171" s="168">
        <v>39971</v>
      </c>
      <c r="M171" s="328">
        <v>33459.82</v>
      </c>
      <c r="N171" s="329">
        <f>AVERAGE(B171:M171)</f>
        <v>38071.901666666665</v>
      </c>
    </row>
    <row r="172" spans="1:14" ht="14.5" x14ac:dyDescent="0.35">
      <c r="A172" s="167" t="s">
        <v>100</v>
      </c>
      <c r="B172" s="168">
        <v>12544</v>
      </c>
      <c r="C172" s="168">
        <v>13788</v>
      </c>
      <c r="D172" s="168">
        <v>17451</v>
      </c>
      <c r="E172" s="169">
        <v>20924</v>
      </c>
      <c r="F172" s="169">
        <v>23756</v>
      </c>
      <c r="G172" s="169">
        <v>18015</v>
      </c>
      <c r="H172" s="327">
        <v>15778</v>
      </c>
      <c r="I172" s="320" t="s">
        <v>140</v>
      </c>
      <c r="J172" s="159"/>
      <c r="K172" s="159"/>
      <c r="L172" s="168">
        <v>3428</v>
      </c>
      <c r="M172" s="328">
        <v>13471.49</v>
      </c>
      <c r="N172" s="329">
        <f>AVERAGE(B172:M172)</f>
        <v>15461.72111111111</v>
      </c>
    </row>
    <row r="173" spans="1:14" ht="14.5" x14ac:dyDescent="0.35">
      <c r="A173" s="167" t="s">
        <v>88</v>
      </c>
      <c r="B173" s="168">
        <v>35748</v>
      </c>
      <c r="C173" s="168">
        <v>44347</v>
      </c>
      <c r="D173" s="168">
        <v>72570</v>
      </c>
      <c r="E173" s="169">
        <v>89947</v>
      </c>
      <c r="F173" s="169">
        <v>99078</v>
      </c>
      <c r="G173" s="169">
        <v>75226</v>
      </c>
      <c r="H173" s="327">
        <v>76874</v>
      </c>
      <c r="I173" s="319">
        <v>51000</v>
      </c>
      <c r="J173" s="168">
        <v>41240</v>
      </c>
      <c r="K173" s="168">
        <v>47352</v>
      </c>
      <c r="L173" s="168">
        <v>49038</v>
      </c>
      <c r="M173" s="328">
        <v>21042</v>
      </c>
      <c r="N173" s="329">
        <f>AVERAGE(B173:M173)</f>
        <v>58621.833333333336</v>
      </c>
    </row>
    <row r="174" spans="1:14" ht="14.5" x14ac:dyDescent="0.35">
      <c r="A174" s="161" t="s">
        <v>101</v>
      </c>
      <c r="B174" s="172">
        <f>SUM(B170:B173)</f>
        <v>141476</v>
      </c>
      <c r="C174" s="172">
        <f>SUM(C170:C173)</f>
        <v>161371</v>
      </c>
      <c r="D174" s="172">
        <f>SUM(D170:D173)</f>
        <v>200945</v>
      </c>
      <c r="E174" s="162">
        <v>206977</v>
      </c>
      <c r="F174" s="162">
        <v>217641</v>
      </c>
      <c r="G174" s="162">
        <v>172852</v>
      </c>
      <c r="H174" s="326">
        <v>171408</v>
      </c>
      <c r="I174" s="321">
        <v>170038</v>
      </c>
      <c r="J174" s="322">
        <f>SUM(J170:J173)</f>
        <v>144416</v>
      </c>
      <c r="K174" s="322">
        <f>SUM(K170:K173)</f>
        <v>144328</v>
      </c>
      <c r="L174" s="322">
        <f>SUM(L170:L173)</f>
        <v>155833</v>
      </c>
      <c r="M174" s="323">
        <f>SUM(M170:M173)</f>
        <v>120792.52</v>
      </c>
    </row>
  </sheetData>
  <mergeCells count="13">
    <mergeCell ref="B77:B78"/>
    <mergeCell ref="C77:C78"/>
    <mergeCell ref="K78:L78"/>
    <mergeCell ref="A114:B117"/>
    <mergeCell ref="C114:E115"/>
    <mergeCell ref="C116:C117"/>
    <mergeCell ref="B1:F1"/>
    <mergeCell ref="B2:B3"/>
    <mergeCell ref="C2:C3"/>
    <mergeCell ref="K4:L4"/>
    <mergeCell ref="B41:B42"/>
    <mergeCell ref="C41:C42"/>
    <mergeCell ref="K41:L41"/>
  </mergeCells>
  <conditionalFormatting sqref="A4:H4 A5:B34 C6:H34">
    <cfRule type="expression" dxfId="17" priority="1">
      <formula>ISODD(ROW())</formula>
    </cfRule>
  </conditionalFormatting>
  <conditionalFormatting sqref="C5:F5">
    <cfRule type="expression" dxfId="16" priority="2">
      <formula>ISEVEN(ROW())</formula>
    </cfRule>
  </conditionalFormatting>
  <conditionalFormatting sqref="G5:H5 A118:F148">
    <cfRule type="expression" dxfId="15" priority="4">
      <formula>ISODD(ROW())</formula>
    </cfRule>
  </conditionalFormatting>
  <conditionalFormatting sqref="H43 A43:F73 G44:H73 G79:H104 A79:F109 G105 G106:H106 H107 G108:H109">
    <cfRule type="expression" dxfId="14" priority="3">
      <formula>ISEVEN(ROW())</formula>
    </cfRule>
  </conditionalFormatting>
  <conditionalFormatting sqref="M2:M16 M18:M21 M27:M32 M34:M35 K37:K39 N41:N43 N49:N60 M55:M59 M65:M68 N65:N74 N77:N110 M111:M112 H114:H151">
    <cfRule type="cellIs" dxfId="13" priority="5" operator="greaterThan">
      <formula>0</formula>
    </cfRule>
    <cfRule type="cellIs" dxfId="12" priority="6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0D2B-6A6B-4BFE-910A-A1507042155E}">
  <sheetPr>
    <tabColor rgb="FFFFC000"/>
  </sheetPr>
  <dimension ref="A1:M174"/>
  <sheetViews>
    <sheetView topLeftCell="A48" workbookViewId="0">
      <selection activeCell="B158" sqref="B158"/>
    </sheetView>
  </sheetViews>
  <sheetFormatPr defaultRowHeight="15" customHeight="1" x14ac:dyDescent="0.35"/>
  <cols>
    <col min="1" max="1" width="18.26953125" customWidth="1"/>
    <col min="2" max="2" width="21" customWidth="1"/>
    <col min="3" max="3" width="16.453125" customWidth="1"/>
    <col min="4" max="4" width="16.1796875" customWidth="1"/>
    <col min="5" max="5" width="22.453125" customWidth="1"/>
    <col min="6" max="6" width="19.81640625" customWidth="1"/>
    <col min="7" max="7" width="16.26953125" customWidth="1"/>
    <col min="8" max="9" width="11.1796875" bestFit="1" customWidth="1"/>
    <col min="10" max="10" width="15.81640625" bestFit="1" customWidth="1"/>
    <col min="11" max="11" width="13" bestFit="1" customWidth="1"/>
    <col min="12" max="12" width="12.26953125" customWidth="1"/>
    <col min="13" max="13" width="16.1796875" customWidth="1"/>
    <col min="14" max="14" width="12.1796875" bestFit="1" customWidth="1"/>
  </cols>
  <sheetData>
    <row r="1" spans="1:13" ht="17.5" x14ac:dyDescent="0.35">
      <c r="A1" s="1"/>
      <c r="B1" s="950" t="s">
        <v>0</v>
      </c>
      <c r="C1" s="950"/>
      <c r="D1" s="950"/>
      <c r="E1" s="950"/>
      <c r="F1" s="950"/>
      <c r="G1" s="1"/>
      <c r="H1" s="1"/>
      <c r="I1" s="1"/>
      <c r="J1" s="1"/>
      <c r="K1" s="1"/>
      <c r="L1" s="1"/>
      <c r="M1" s="1"/>
    </row>
    <row r="2" spans="1:13" ht="15.65" customHeight="1" x14ac:dyDescent="0.35">
      <c r="A2" s="2"/>
      <c r="B2" s="952" t="s">
        <v>1</v>
      </c>
      <c r="C2" s="971" t="s">
        <v>0</v>
      </c>
      <c r="D2" s="3" t="s">
        <v>2</v>
      </c>
      <c r="E2" s="4" t="s">
        <v>3</v>
      </c>
      <c r="F2" s="5" t="s">
        <v>6</v>
      </c>
      <c r="G2" s="6" t="s">
        <v>7</v>
      </c>
      <c r="H2" s="7"/>
      <c r="I2" s="7"/>
      <c r="J2" s="7"/>
      <c r="K2" s="7"/>
      <c r="L2" s="7"/>
      <c r="M2" s="7"/>
    </row>
    <row r="3" spans="1:13" ht="30.75" customHeight="1" x14ac:dyDescent="0.35">
      <c r="A3" s="8"/>
      <c r="B3" s="953"/>
      <c r="C3" s="972"/>
      <c r="D3" s="9" t="s">
        <v>0</v>
      </c>
      <c r="E3" s="10" t="s">
        <v>0</v>
      </c>
      <c r="F3" s="11" t="s">
        <v>1086</v>
      </c>
      <c r="G3" s="12" t="s">
        <v>9</v>
      </c>
      <c r="H3" s="1"/>
      <c r="I3" s="1"/>
      <c r="J3" s="1"/>
      <c r="K3" s="1"/>
      <c r="L3" s="1"/>
      <c r="M3" s="1"/>
    </row>
    <row r="4" spans="1:13" ht="14.5" x14ac:dyDescent="0.35">
      <c r="A4" s="13" t="s">
        <v>24</v>
      </c>
      <c r="B4" s="14">
        <v>45413</v>
      </c>
      <c r="C4" s="15">
        <v>2545</v>
      </c>
      <c r="D4" s="16">
        <v>112</v>
      </c>
      <c r="E4" s="17">
        <v>0</v>
      </c>
      <c r="F4" s="18" t="s">
        <v>1087</v>
      </c>
      <c r="G4" s="19">
        <v>9</v>
      </c>
      <c r="H4" s="1"/>
      <c r="I4" s="1"/>
      <c r="J4" s="951" t="s">
        <v>12</v>
      </c>
      <c r="K4" s="951"/>
      <c r="L4" s="1"/>
      <c r="M4" s="1"/>
    </row>
    <row r="5" spans="1:13" ht="14.5" x14ac:dyDescent="0.35">
      <c r="A5" s="13" t="s">
        <v>10</v>
      </c>
      <c r="B5" s="14">
        <v>45414</v>
      </c>
      <c r="C5" s="177">
        <v>1359</v>
      </c>
      <c r="D5" s="178">
        <v>69</v>
      </c>
      <c r="E5" s="179">
        <v>1</v>
      </c>
      <c r="F5" s="22" t="s">
        <v>1088</v>
      </c>
      <c r="G5" s="23">
        <v>11</v>
      </c>
      <c r="H5" s="1"/>
      <c r="I5" s="1"/>
      <c r="J5" s="24" t="s">
        <v>15</v>
      </c>
      <c r="K5" s="25">
        <v>70000</v>
      </c>
      <c r="L5" s="1"/>
      <c r="M5" s="1"/>
    </row>
    <row r="6" spans="1:13" ht="14.5" x14ac:dyDescent="0.35">
      <c r="A6" s="13" t="s">
        <v>13</v>
      </c>
      <c r="B6" s="14">
        <v>45415</v>
      </c>
      <c r="C6" s="26">
        <v>2639</v>
      </c>
      <c r="D6" s="27">
        <v>79</v>
      </c>
      <c r="E6" s="28">
        <v>1</v>
      </c>
      <c r="F6" s="28" t="s">
        <v>1089</v>
      </c>
      <c r="G6" s="29">
        <v>24</v>
      </c>
      <c r="H6" s="1"/>
      <c r="I6" s="1"/>
      <c r="J6" s="30" t="s">
        <v>17</v>
      </c>
      <c r="K6" s="31">
        <v>3000</v>
      </c>
      <c r="L6" s="1"/>
      <c r="M6" s="1"/>
    </row>
    <row r="7" spans="1:13" ht="14.5" x14ac:dyDescent="0.35">
      <c r="A7" s="13" t="s">
        <v>16</v>
      </c>
      <c r="B7" s="14">
        <v>45416</v>
      </c>
      <c r="C7" s="32">
        <v>4540</v>
      </c>
      <c r="D7" s="33">
        <v>252</v>
      </c>
      <c r="E7" s="34">
        <v>1</v>
      </c>
      <c r="F7" s="34" t="s">
        <v>1090</v>
      </c>
      <c r="G7" s="29">
        <v>12</v>
      </c>
      <c r="H7" s="1"/>
      <c r="I7" s="1"/>
      <c r="J7" s="35" t="s">
        <v>3</v>
      </c>
      <c r="K7" s="36">
        <v>30</v>
      </c>
      <c r="L7" s="1"/>
      <c r="M7" s="1"/>
    </row>
    <row r="8" spans="1:13" ht="14.5" x14ac:dyDescent="0.35">
      <c r="A8" s="13" t="s">
        <v>18</v>
      </c>
      <c r="B8" s="14">
        <v>45417</v>
      </c>
      <c r="C8" s="26"/>
      <c r="D8" s="27"/>
      <c r="E8" s="28"/>
      <c r="F8" s="28"/>
      <c r="G8" s="29"/>
      <c r="H8" s="1"/>
      <c r="I8" s="1"/>
      <c r="J8" s="1"/>
      <c r="K8" s="1"/>
      <c r="L8" s="1"/>
      <c r="M8" s="1"/>
    </row>
    <row r="9" spans="1:13" ht="14.5" x14ac:dyDescent="0.35">
      <c r="A9" s="13" t="s">
        <v>20</v>
      </c>
      <c r="B9" s="14">
        <v>45418</v>
      </c>
      <c r="C9" s="20">
        <v>2980</v>
      </c>
      <c r="D9" s="21">
        <v>124</v>
      </c>
      <c r="E9" s="22">
        <v>0</v>
      </c>
      <c r="F9" s="28" t="s">
        <v>1091</v>
      </c>
      <c r="G9" s="23">
        <v>15</v>
      </c>
      <c r="H9" s="1"/>
      <c r="I9" s="1"/>
      <c r="J9" s="1"/>
      <c r="K9" s="1"/>
      <c r="L9" s="1"/>
      <c r="M9" s="1"/>
    </row>
    <row r="10" spans="1:13" ht="14.5" x14ac:dyDescent="0.35">
      <c r="A10" s="13" t="s">
        <v>22</v>
      </c>
      <c r="B10" s="14">
        <v>45419</v>
      </c>
      <c r="C10" s="37">
        <v>2331</v>
      </c>
      <c r="D10" s="16">
        <v>45</v>
      </c>
      <c r="E10" s="38">
        <v>0</v>
      </c>
      <c r="F10" s="38" t="s">
        <v>1092</v>
      </c>
      <c r="G10" s="39">
        <v>13</v>
      </c>
      <c r="H10" s="1"/>
      <c r="I10" s="1"/>
      <c r="J10" s="1"/>
      <c r="K10" s="1"/>
      <c r="L10" s="1"/>
      <c r="M10" s="1"/>
    </row>
    <row r="11" spans="1:13" ht="14.5" x14ac:dyDescent="0.35">
      <c r="A11" s="13" t="s">
        <v>24</v>
      </c>
      <c r="B11" s="14">
        <v>45420</v>
      </c>
      <c r="C11" s="40">
        <v>2775</v>
      </c>
      <c r="D11" s="41">
        <v>0</v>
      </c>
      <c r="E11" s="42">
        <v>0</v>
      </c>
      <c r="F11" s="42" t="s">
        <v>1093</v>
      </c>
      <c r="G11" s="43">
        <v>20</v>
      </c>
      <c r="H11" s="1"/>
      <c r="I11" s="1"/>
      <c r="J11" s="1"/>
      <c r="K11" s="1"/>
      <c r="L11" s="1"/>
      <c r="M11" s="1"/>
    </row>
    <row r="12" spans="1:13" ht="14.5" x14ac:dyDescent="0.35">
      <c r="A12" s="13" t="s">
        <v>10</v>
      </c>
      <c r="B12" s="14">
        <v>45421</v>
      </c>
      <c r="C12" s="44">
        <v>3583</v>
      </c>
      <c r="D12" s="45">
        <v>58</v>
      </c>
      <c r="E12" s="46">
        <v>0</v>
      </c>
      <c r="F12" s="46" t="s">
        <v>1094</v>
      </c>
      <c r="G12" s="47">
        <v>16</v>
      </c>
      <c r="H12" s="1"/>
      <c r="I12" s="1"/>
      <c r="J12" s="1"/>
      <c r="K12" s="1"/>
      <c r="L12" s="1"/>
      <c r="M12" s="1"/>
    </row>
    <row r="13" spans="1:13" ht="14.5" x14ac:dyDescent="0.35">
      <c r="A13" s="13" t="s">
        <v>13</v>
      </c>
      <c r="B13" s="14">
        <v>45422</v>
      </c>
      <c r="C13" s="48">
        <v>933</v>
      </c>
      <c r="D13" s="49">
        <v>0</v>
      </c>
      <c r="E13" s="50">
        <v>0</v>
      </c>
      <c r="F13" s="50" t="s">
        <v>1095</v>
      </c>
      <c r="G13" s="51">
        <v>12</v>
      </c>
      <c r="H13" s="1"/>
      <c r="I13" s="1"/>
      <c r="J13" s="1"/>
      <c r="K13" s="1"/>
      <c r="L13" s="1"/>
      <c r="M13" s="1"/>
    </row>
    <row r="14" spans="1:13" ht="14.5" x14ac:dyDescent="0.35">
      <c r="A14" s="13" t="s">
        <v>16</v>
      </c>
      <c r="B14" s="14">
        <v>45423</v>
      </c>
      <c r="C14" s="52">
        <v>3855</v>
      </c>
      <c r="D14" s="53">
        <v>216</v>
      </c>
      <c r="E14" s="54">
        <v>0</v>
      </c>
      <c r="F14" s="54" t="s">
        <v>1096</v>
      </c>
      <c r="G14" s="55">
        <v>18</v>
      </c>
      <c r="H14" s="1"/>
      <c r="I14" s="1"/>
      <c r="J14" s="1"/>
      <c r="K14" s="1"/>
      <c r="L14" s="1"/>
      <c r="M14" s="1"/>
    </row>
    <row r="15" spans="1:13" ht="14.5" x14ac:dyDescent="0.35">
      <c r="A15" s="13" t="s">
        <v>18</v>
      </c>
      <c r="B15" s="14">
        <v>45424</v>
      </c>
      <c r="C15" s="48"/>
      <c r="D15" s="49"/>
      <c r="E15" s="50"/>
      <c r="F15" s="50"/>
      <c r="G15" s="51"/>
      <c r="H15" s="1"/>
      <c r="I15" s="1"/>
      <c r="J15" s="1"/>
      <c r="K15" s="1"/>
      <c r="L15" s="1"/>
      <c r="M15" s="1"/>
    </row>
    <row r="16" spans="1:13" ht="14.5" x14ac:dyDescent="0.35">
      <c r="A16" s="13" t="s">
        <v>20</v>
      </c>
      <c r="B16" s="14">
        <v>45425</v>
      </c>
      <c r="C16" s="56">
        <v>2801</v>
      </c>
      <c r="D16" s="57">
        <v>65</v>
      </c>
      <c r="E16" s="58">
        <v>0</v>
      </c>
      <c r="F16" s="58" t="s">
        <v>1097</v>
      </c>
      <c r="G16" s="59">
        <v>19</v>
      </c>
      <c r="H16" s="1"/>
      <c r="I16" s="1"/>
      <c r="J16" s="1"/>
      <c r="K16" s="1"/>
      <c r="L16" s="1"/>
      <c r="M16" s="1"/>
    </row>
    <row r="17" spans="1:13" ht="14.5" x14ac:dyDescent="0.35">
      <c r="A17" s="13" t="s">
        <v>22</v>
      </c>
      <c r="B17" s="14">
        <v>45426</v>
      </c>
      <c r="C17" s="48">
        <v>4195</v>
      </c>
      <c r="D17" s="49">
        <v>87</v>
      </c>
      <c r="E17" s="50">
        <v>0</v>
      </c>
      <c r="F17" s="50" t="s">
        <v>1098</v>
      </c>
      <c r="G17" s="51">
        <v>20</v>
      </c>
      <c r="H17" s="60"/>
      <c r="I17" s="1"/>
      <c r="J17" s="1"/>
      <c r="K17" s="1"/>
      <c r="L17" s="1"/>
      <c r="M17" s="1"/>
    </row>
    <row r="18" spans="1:13" ht="14.5" x14ac:dyDescent="0.35">
      <c r="A18" s="13" t="s">
        <v>24</v>
      </c>
      <c r="B18" s="14">
        <v>45427</v>
      </c>
      <c r="C18" s="56">
        <v>1709</v>
      </c>
      <c r="D18" s="16">
        <v>0</v>
      </c>
      <c r="E18" s="38">
        <v>0</v>
      </c>
      <c r="F18" s="38" t="s">
        <v>1099</v>
      </c>
      <c r="G18" s="39">
        <v>15</v>
      </c>
      <c r="H18" s="1"/>
      <c r="I18" s="1"/>
      <c r="J18" s="1"/>
      <c r="K18" s="1"/>
      <c r="L18" s="1"/>
      <c r="M18" s="1"/>
    </row>
    <row r="19" spans="1:13" ht="14.5" x14ac:dyDescent="0.35">
      <c r="A19" s="13" t="s">
        <v>10</v>
      </c>
      <c r="B19" s="14">
        <v>45428</v>
      </c>
      <c r="C19" s="32">
        <v>4193</v>
      </c>
      <c r="D19" s="21">
        <v>390</v>
      </c>
      <c r="E19" s="22">
        <v>0</v>
      </c>
      <c r="F19" s="22" t="s">
        <v>1100</v>
      </c>
      <c r="G19" s="23">
        <v>14</v>
      </c>
      <c r="H19" s="61"/>
      <c r="I19" s="1"/>
      <c r="J19" s="1"/>
      <c r="K19" s="1"/>
      <c r="L19" s="1"/>
      <c r="M19" s="1"/>
    </row>
    <row r="20" spans="1:13" ht="14.5" x14ac:dyDescent="0.35">
      <c r="A20" s="13" t="s">
        <v>13</v>
      </c>
      <c r="B20" s="14">
        <v>45429</v>
      </c>
      <c r="C20" s="56">
        <v>2661</v>
      </c>
      <c r="D20" s="57">
        <v>215</v>
      </c>
      <c r="E20" s="38">
        <v>0</v>
      </c>
      <c r="F20" s="58" t="s">
        <v>1101</v>
      </c>
      <c r="G20" s="39">
        <v>14</v>
      </c>
      <c r="H20" s="1"/>
      <c r="I20" s="1"/>
      <c r="J20" s="1"/>
      <c r="K20" s="1"/>
      <c r="L20" s="1"/>
      <c r="M20" s="1"/>
    </row>
    <row r="21" spans="1:13" ht="14.5" x14ac:dyDescent="0.35">
      <c r="A21" s="13" t="s">
        <v>16</v>
      </c>
      <c r="B21" s="14">
        <v>45430</v>
      </c>
      <c r="C21" s="62">
        <v>3381</v>
      </c>
      <c r="D21" s="63">
        <v>237</v>
      </c>
      <c r="E21" s="64">
        <v>0</v>
      </c>
      <c r="F21" s="64" t="s">
        <v>1102</v>
      </c>
      <c r="G21" s="65">
        <v>19</v>
      </c>
      <c r="H21" s="66"/>
      <c r="I21" s="1"/>
      <c r="J21" s="1"/>
      <c r="K21" s="1"/>
      <c r="L21" s="1"/>
      <c r="M21" s="1"/>
    </row>
    <row r="22" spans="1:13" ht="14.5" x14ac:dyDescent="0.35">
      <c r="A22" s="13" t="s">
        <v>18</v>
      </c>
      <c r="B22" s="14">
        <v>45431</v>
      </c>
      <c r="C22" s="37"/>
      <c r="D22" s="16"/>
      <c r="E22" s="38"/>
      <c r="F22" s="38"/>
      <c r="G22" s="39"/>
      <c r="H22" s="67"/>
      <c r="I22" s="1"/>
      <c r="J22" s="1"/>
      <c r="K22" s="1"/>
      <c r="L22" s="1"/>
      <c r="M22" s="1"/>
    </row>
    <row r="23" spans="1:13" ht="14.5" x14ac:dyDescent="0.35">
      <c r="A23" s="13" t="s">
        <v>20</v>
      </c>
      <c r="B23" s="14">
        <v>45432</v>
      </c>
      <c r="C23" s="62">
        <v>3286</v>
      </c>
      <c r="D23" s="63">
        <v>79</v>
      </c>
      <c r="E23" s="64">
        <v>0</v>
      </c>
      <c r="F23" s="38" t="s">
        <v>1103</v>
      </c>
      <c r="G23" s="65">
        <v>17</v>
      </c>
      <c r="H23" s="66"/>
      <c r="I23" s="1"/>
      <c r="J23" s="1"/>
      <c r="K23" s="1"/>
      <c r="L23" s="1"/>
      <c r="M23" s="1"/>
    </row>
    <row r="24" spans="1:13" ht="14.5" x14ac:dyDescent="0.35">
      <c r="A24" s="13" t="s">
        <v>22</v>
      </c>
      <c r="B24" s="14">
        <v>45433</v>
      </c>
      <c r="C24" s="26">
        <v>2333</v>
      </c>
      <c r="D24" s="27">
        <v>94</v>
      </c>
      <c r="E24" s="28">
        <v>0</v>
      </c>
      <c r="F24" s="28" t="s">
        <v>1104</v>
      </c>
      <c r="G24" s="29">
        <v>16</v>
      </c>
      <c r="H24" s="66"/>
      <c r="I24" s="1"/>
      <c r="J24" s="1"/>
      <c r="K24" s="1"/>
      <c r="L24" s="1"/>
      <c r="M24" s="1"/>
    </row>
    <row r="25" spans="1:13" ht="14.5" x14ac:dyDescent="0.35">
      <c r="A25" s="13" t="s">
        <v>24</v>
      </c>
      <c r="B25" s="14">
        <v>45434</v>
      </c>
      <c r="C25" s="32">
        <v>2153</v>
      </c>
      <c r="D25" s="33">
        <v>105</v>
      </c>
      <c r="E25" s="34">
        <v>0</v>
      </c>
      <c r="F25" s="34" t="s">
        <v>1105</v>
      </c>
      <c r="G25" s="68">
        <v>17</v>
      </c>
      <c r="H25" s="1"/>
      <c r="I25" s="1"/>
      <c r="J25" s="1"/>
      <c r="K25" s="1"/>
      <c r="L25" s="1"/>
      <c r="M25" s="1"/>
    </row>
    <row r="26" spans="1:13" ht="14.5" x14ac:dyDescent="0.35">
      <c r="A26" s="13" t="s">
        <v>10</v>
      </c>
      <c r="B26" s="14">
        <v>45435</v>
      </c>
      <c r="C26" s="56">
        <v>2316</v>
      </c>
      <c r="D26" s="57">
        <v>115</v>
      </c>
      <c r="E26" s="58">
        <v>0</v>
      </c>
      <c r="F26" s="58" t="s">
        <v>1106</v>
      </c>
      <c r="G26" s="59">
        <v>20</v>
      </c>
      <c r="H26" s="1"/>
      <c r="I26" s="1"/>
      <c r="J26" s="1"/>
      <c r="K26" s="1"/>
      <c r="L26" s="1"/>
      <c r="M26" s="1"/>
    </row>
    <row r="27" spans="1:13" ht="14.5" x14ac:dyDescent="0.35">
      <c r="A27" s="13" t="s">
        <v>13</v>
      </c>
      <c r="B27" s="14">
        <v>45436</v>
      </c>
      <c r="C27" s="62">
        <v>2303</v>
      </c>
      <c r="D27" s="63">
        <v>80</v>
      </c>
      <c r="E27" s="64">
        <v>0</v>
      </c>
      <c r="F27" s="64" t="s">
        <v>1107</v>
      </c>
      <c r="G27" s="65">
        <v>17</v>
      </c>
      <c r="H27" s="66"/>
      <c r="I27" s="1"/>
      <c r="J27" s="1"/>
      <c r="K27" s="1"/>
      <c r="L27" s="1"/>
      <c r="M27" s="1"/>
    </row>
    <row r="28" spans="1:13" ht="14.5" x14ac:dyDescent="0.35">
      <c r="A28" s="13" t="s">
        <v>16</v>
      </c>
      <c r="B28" s="14">
        <v>45437</v>
      </c>
      <c r="C28" s="56">
        <v>2758</v>
      </c>
      <c r="D28" s="57">
        <v>140</v>
      </c>
      <c r="E28" s="58">
        <v>0</v>
      </c>
      <c r="F28" s="58" t="s">
        <v>1108</v>
      </c>
      <c r="G28" s="59">
        <v>19</v>
      </c>
      <c r="H28" s="1"/>
      <c r="I28" s="1"/>
      <c r="J28" s="1"/>
      <c r="K28" s="1"/>
      <c r="L28" s="1"/>
      <c r="M28" s="1"/>
    </row>
    <row r="29" spans="1:13" ht="14.5" x14ac:dyDescent="0.35">
      <c r="A29" s="13" t="s">
        <v>18</v>
      </c>
      <c r="B29" s="14">
        <v>45438</v>
      </c>
      <c r="C29" s="32"/>
      <c r="D29" s="33"/>
      <c r="E29" s="34"/>
      <c r="F29" s="34"/>
      <c r="G29" s="68"/>
      <c r="H29" s="1"/>
      <c r="I29" s="1"/>
      <c r="J29" s="1"/>
      <c r="K29" s="1"/>
      <c r="L29" s="1"/>
      <c r="M29" s="1"/>
    </row>
    <row r="30" spans="1:13" ht="14.5" x14ac:dyDescent="0.35">
      <c r="A30" s="13" t="s">
        <v>20</v>
      </c>
      <c r="B30" s="14">
        <v>45439</v>
      </c>
      <c r="C30" s="37"/>
      <c r="D30" s="16"/>
      <c r="E30" s="69"/>
      <c r="F30" s="70"/>
      <c r="G30" s="71"/>
      <c r="H30" s="67"/>
      <c r="I30" s="1"/>
      <c r="J30" s="1"/>
      <c r="K30" s="72"/>
      <c r="L30" s="1"/>
      <c r="M30" s="1"/>
    </row>
    <row r="31" spans="1:13" ht="14.5" x14ac:dyDescent="0.35">
      <c r="A31" s="13" t="s">
        <v>22</v>
      </c>
      <c r="B31" s="14">
        <v>45440</v>
      </c>
      <c r="C31" s="37">
        <v>3583</v>
      </c>
      <c r="D31" s="37">
        <v>50</v>
      </c>
      <c r="E31" s="67">
        <v>0</v>
      </c>
      <c r="F31" s="70" t="s">
        <v>1109</v>
      </c>
      <c r="G31" s="71">
        <v>22</v>
      </c>
      <c r="H31" s="67"/>
      <c r="I31" s="1"/>
      <c r="J31" s="1"/>
      <c r="K31" s="72"/>
      <c r="L31" s="1"/>
      <c r="M31" s="1"/>
    </row>
    <row r="32" spans="1:13" ht="14.5" x14ac:dyDescent="0.35">
      <c r="A32" s="13" t="s">
        <v>24</v>
      </c>
      <c r="B32" s="14">
        <v>45441</v>
      </c>
      <c r="C32" s="37">
        <v>2564</v>
      </c>
      <c r="D32" s="37">
        <v>25</v>
      </c>
      <c r="E32" s="67">
        <v>0</v>
      </c>
      <c r="F32" s="73" t="s">
        <v>1110</v>
      </c>
      <c r="G32" s="74">
        <v>13</v>
      </c>
      <c r="H32" s="67"/>
      <c r="I32" s="1"/>
      <c r="J32" s="1"/>
      <c r="K32" s="72"/>
      <c r="L32" s="1"/>
      <c r="M32" s="1"/>
    </row>
    <row r="33" spans="1:13" ht="14.5" x14ac:dyDescent="0.35">
      <c r="A33" s="13" t="s">
        <v>10</v>
      </c>
      <c r="B33" s="14">
        <v>45442</v>
      </c>
      <c r="C33" s="75">
        <v>2003</v>
      </c>
      <c r="D33" s="75">
        <v>163</v>
      </c>
      <c r="E33" s="70">
        <v>0</v>
      </c>
      <c r="F33" s="70" t="s">
        <v>1111</v>
      </c>
      <c r="G33" s="18">
        <v>21</v>
      </c>
      <c r="H33" s="1"/>
      <c r="I33" s="1"/>
      <c r="J33" s="1"/>
      <c r="K33" s="1"/>
      <c r="L33" s="1"/>
      <c r="M33" s="1"/>
    </row>
    <row r="34" spans="1:13" ht="14.5" x14ac:dyDescent="0.35">
      <c r="A34" s="13" t="s">
        <v>13</v>
      </c>
      <c r="B34" s="14">
        <v>45443</v>
      </c>
      <c r="C34" s="76">
        <v>2821</v>
      </c>
      <c r="D34" s="76">
        <v>152</v>
      </c>
      <c r="E34" s="18">
        <v>0</v>
      </c>
      <c r="F34" s="18" t="s">
        <v>1112</v>
      </c>
      <c r="G34" s="77">
        <v>16</v>
      </c>
      <c r="H34" s="67"/>
      <c r="I34" s="1"/>
      <c r="J34" s="1"/>
      <c r="K34" s="72"/>
      <c r="L34" s="1"/>
      <c r="M34" s="1"/>
    </row>
    <row r="35" spans="1:13" ht="14.5" x14ac:dyDescent="0.35">
      <c r="A35" s="78"/>
      <c r="B35" s="78"/>
      <c r="C35" s="79">
        <f>SUM(C4:C34)</f>
        <v>72600</v>
      </c>
      <c r="D35" s="80">
        <f>SUM(D4:D34)</f>
        <v>2952</v>
      </c>
      <c r="E35" s="81">
        <f>SUM(E4:E34)</f>
        <v>3</v>
      </c>
      <c r="F35" s="82"/>
      <c r="G35" s="82">
        <f>SUM(G4:G34)</f>
        <v>429</v>
      </c>
      <c r="H35" s="83"/>
      <c r="I35" s="1"/>
      <c r="J35" s="1"/>
      <c r="K35" s="1"/>
      <c r="L35" s="1"/>
      <c r="M35" s="1"/>
    </row>
    <row r="36" spans="1:13" ht="14.5" x14ac:dyDescent="0.35">
      <c r="A36" s="1"/>
      <c r="B36" s="84"/>
      <c r="C36" s="85"/>
      <c r="D36" s="86"/>
      <c r="E36" s="87"/>
      <c r="F36" s="78"/>
      <c r="G36" s="1"/>
      <c r="H36" s="1"/>
      <c r="I36" s="1"/>
      <c r="J36" s="1"/>
      <c r="K36" s="1"/>
      <c r="L36" s="1"/>
      <c r="M36" s="1"/>
    </row>
    <row r="37" spans="1:13" ht="14.5" x14ac:dyDescent="0.35">
      <c r="A37" s="1"/>
      <c r="B37" s="84"/>
      <c r="C37" s="72"/>
      <c r="D37" s="72"/>
      <c r="E37" s="87"/>
      <c r="F37" s="88"/>
      <c r="G37" s="1"/>
      <c r="H37" s="1"/>
      <c r="I37" s="1"/>
      <c r="J37" s="1"/>
      <c r="K37" s="1"/>
      <c r="L37" s="1"/>
      <c r="M37" s="1"/>
    </row>
    <row r="38" spans="1:13" ht="14.5" x14ac:dyDescent="0.35">
      <c r="A38" s="1"/>
      <c r="B38" s="84"/>
      <c r="C38" s="87"/>
      <c r="D38" s="72"/>
      <c r="E38" s="87"/>
      <c r="F38" s="88"/>
      <c r="G38" s="1"/>
      <c r="H38" s="1"/>
      <c r="I38" s="1"/>
      <c r="J38" s="1"/>
      <c r="K38" s="1"/>
      <c r="L38" s="1"/>
      <c r="M38" s="1"/>
    </row>
    <row r="39" spans="1:13" ht="14.5" x14ac:dyDescent="0.35">
      <c r="A39" s="1"/>
      <c r="B39" s="84"/>
      <c r="C39" s="72"/>
      <c r="D39" s="72"/>
      <c r="E39" s="72"/>
      <c r="F39" s="1"/>
      <c r="G39" s="1"/>
      <c r="H39" s="1"/>
      <c r="I39" s="1"/>
      <c r="J39" s="1"/>
      <c r="K39" s="1"/>
      <c r="L39" s="1"/>
      <c r="M39" s="1"/>
    </row>
    <row r="40" spans="1:13" ht="17.5" x14ac:dyDescent="0.35">
      <c r="A40" s="1"/>
      <c r="B40" s="84"/>
      <c r="C40" s="72"/>
      <c r="D40" s="89"/>
      <c r="E40" s="72"/>
      <c r="F40" s="1"/>
      <c r="G40" s="1"/>
      <c r="H40" s="1"/>
      <c r="I40" s="1"/>
      <c r="J40" s="1"/>
      <c r="K40" s="1"/>
      <c r="L40" s="1"/>
      <c r="M40" s="1"/>
    </row>
    <row r="41" spans="1:13" ht="15.65" customHeight="1" x14ac:dyDescent="0.35">
      <c r="A41" s="2"/>
      <c r="B41" s="973" t="s">
        <v>37</v>
      </c>
      <c r="C41" s="954" t="s">
        <v>0</v>
      </c>
      <c r="D41" s="3" t="s">
        <v>2</v>
      </c>
      <c r="E41" s="90" t="s">
        <v>3</v>
      </c>
      <c r="F41" s="5" t="s">
        <v>6</v>
      </c>
      <c r="G41" s="91" t="s">
        <v>7</v>
      </c>
      <c r="H41" s="7"/>
      <c r="I41" s="7"/>
      <c r="J41" s="951" t="s">
        <v>12</v>
      </c>
      <c r="K41" s="951"/>
      <c r="L41" s="7"/>
      <c r="M41" s="7"/>
    </row>
    <row r="42" spans="1:13" ht="29.25" customHeight="1" x14ac:dyDescent="0.35">
      <c r="A42" s="8"/>
      <c r="B42" s="974"/>
      <c r="C42" s="955"/>
      <c r="D42" s="9" t="s">
        <v>0</v>
      </c>
      <c r="E42" s="92" t="s">
        <v>0</v>
      </c>
      <c r="F42" s="11" t="s">
        <v>1086</v>
      </c>
      <c r="G42" s="93" t="s">
        <v>9</v>
      </c>
      <c r="H42" s="1"/>
      <c r="I42" s="1"/>
      <c r="J42" s="94" t="s">
        <v>15</v>
      </c>
      <c r="K42" s="95">
        <v>53000</v>
      </c>
      <c r="L42" s="1"/>
      <c r="M42" s="1"/>
    </row>
    <row r="43" spans="1:13" ht="14.5" x14ac:dyDescent="0.35">
      <c r="A43" s="13" t="s">
        <v>24</v>
      </c>
      <c r="B43" s="14">
        <v>45413</v>
      </c>
      <c r="C43" s="15">
        <v>1758</v>
      </c>
      <c r="D43" s="16">
        <v>44</v>
      </c>
      <c r="E43" s="17">
        <v>0</v>
      </c>
      <c r="F43" s="1" t="s">
        <v>1113</v>
      </c>
      <c r="G43" s="19">
        <v>11</v>
      </c>
      <c r="H43" s="1"/>
      <c r="I43" s="1"/>
      <c r="J43" s="30" t="s">
        <v>17</v>
      </c>
      <c r="K43" s="97">
        <v>2600</v>
      </c>
      <c r="L43" s="1"/>
      <c r="M43" s="1"/>
    </row>
    <row r="44" spans="1:13" ht="14.5" x14ac:dyDescent="0.35">
      <c r="A44" s="13" t="s">
        <v>10</v>
      </c>
      <c r="B44" s="14">
        <v>45414</v>
      </c>
      <c r="C44" s="20">
        <v>2270</v>
      </c>
      <c r="D44" s="21">
        <v>25</v>
      </c>
      <c r="E44" s="22">
        <v>0</v>
      </c>
      <c r="F44" s="22" t="s">
        <v>1114</v>
      </c>
      <c r="G44" s="23">
        <v>7</v>
      </c>
      <c r="H44" s="1"/>
      <c r="I44" s="1"/>
      <c r="J44" s="98" t="s">
        <v>3</v>
      </c>
      <c r="K44" s="99">
        <v>25</v>
      </c>
      <c r="L44" s="1"/>
      <c r="M44" s="1"/>
    </row>
    <row r="45" spans="1:13" ht="14.5" x14ac:dyDescent="0.35">
      <c r="A45" s="13" t="s">
        <v>13</v>
      </c>
      <c r="B45" s="14">
        <v>45415</v>
      </c>
      <c r="C45" s="26">
        <v>1794</v>
      </c>
      <c r="D45" s="27">
        <v>50</v>
      </c>
      <c r="E45" s="28">
        <v>0</v>
      </c>
      <c r="F45" s="28" t="s">
        <v>1115</v>
      </c>
      <c r="G45" s="29">
        <v>10</v>
      </c>
      <c r="H45" s="1"/>
      <c r="I45" s="100"/>
      <c r="J45" s="1"/>
      <c r="K45" s="84"/>
      <c r="L45" s="1"/>
      <c r="M45" s="1"/>
    </row>
    <row r="46" spans="1:13" ht="14.5" x14ac:dyDescent="0.35">
      <c r="A46" s="13" t="s">
        <v>16</v>
      </c>
      <c r="B46" s="14">
        <v>45416</v>
      </c>
      <c r="C46" s="32">
        <v>2946</v>
      </c>
      <c r="D46" s="33">
        <v>110</v>
      </c>
      <c r="E46" s="34">
        <v>2</v>
      </c>
      <c r="F46" s="34" t="s">
        <v>1116</v>
      </c>
      <c r="G46" s="68">
        <v>14</v>
      </c>
      <c r="H46" s="1"/>
      <c r="I46" s="1"/>
      <c r="J46" s="1"/>
      <c r="K46" s="84"/>
      <c r="L46" s="1"/>
      <c r="M46" s="1"/>
    </row>
    <row r="47" spans="1:13" ht="14.5" x14ac:dyDescent="0.35">
      <c r="A47" s="13" t="s">
        <v>18</v>
      </c>
      <c r="B47" s="14">
        <v>45417</v>
      </c>
      <c r="C47" s="26"/>
      <c r="D47" s="27"/>
      <c r="E47" s="28"/>
      <c r="F47" s="28"/>
      <c r="G47" s="29"/>
      <c r="H47" s="1"/>
      <c r="I47" s="1"/>
      <c r="J47" s="1"/>
      <c r="K47" s="84"/>
      <c r="L47" s="1"/>
      <c r="M47" s="1"/>
    </row>
    <row r="48" spans="1:13" ht="14.5" x14ac:dyDescent="0.35">
      <c r="A48" s="13" t="s">
        <v>20</v>
      </c>
      <c r="B48" s="14">
        <v>45418</v>
      </c>
      <c r="C48" s="20">
        <v>2626</v>
      </c>
      <c r="D48" s="21">
        <v>144</v>
      </c>
      <c r="E48" s="22">
        <v>1</v>
      </c>
      <c r="F48" s="28" t="s">
        <v>1117</v>
      </c>
      <c r="G48" s="23">
        <v>11</v>
      </c>
      <c r="H48" s="1"/>
      <c r="I48" s="1"/>
      <c r="J48" s="1"/>
      <c r="K48" s="84"/>
      <c r="L48" s="1"/>
      <c r="M48" s="1"/>
    </row>
    <row r="49" spans="1:13" ht="14.5" x14ac:dyDescent="0.35">
      <c r="A49" s="13" t="s">
        <v>22</v>
      </c>
      <c r="B49" s="14">
        <v>45419</v>
      </c>
      <c r="C49" s="37">
        <v>2164</v>
      </c>
      <c r="D49" s="16">
        <v>75</v>
      </c>
      <c r="E49" s="38">
        <v>0</v>
      </c>
      <c r="F49" s="38" t="s">
        <v>1118</v>
      </c>
      <c r="G49" s="39">
        <v>8</v>
      </c>
      <c r="H49" s="1"/>
      <c r="I49" s="1"/>
      <c r="J49" s="1"/>
      <c r="K49" s="1"/>
      <c r="L49" s="1"/>
      <c r="M49" s="1"/>
    </row>
    <row r="50" spans="1:13" ht="14.5" x14ac:dyDescent="0.35">
      <c r="A50" s="13" t="s">
        <v>24</v>
      </c>
      <c r="B50" s="14">
        <v>45420</v>
      </c>
      <c r="C50" s="40">
        <v>1118</v>
      </c>
      <c r="D50" s="41">
        <v>30</v>
      </c>
      <c r="E50" s="42">
        <v>0</v>
      </c>
      <c r="F50" s="42" t="s">
        <v>1119</v>
      </c>
      <c r="G50" s="43">
        <v>9</v>
      </c>
      <c r="H50" s="1"/>
      <c r="I50" s="1"/>
      <c r="J50" s="1"/>
      <c r="K50" s="1"/>
      <c r="L50" s="1"/>
      <c r="M50" s="1"/>
    </row>
    <row r="51" spans="1:13" ht="14.5" x14ac:dyDescent="0.35">
      <c r="A51" s="13" t="s">
        <v>10</v>
      </c>
      <c r="B51" s="14">
        <v>45421</v>
      </c>
      <c r="C51" s="44">
        <v>1345</v>
      </c>
      <c r="D51" s="45">
        <v>20</v>
      </c>
      <c r="E51" s="46">
        <v>0</v>
      </c>
      <c r="F51" s="46" t="s">
        <v>1120</v>
      </c>
      <c r="G51" s="47">
        <v>12</v>
      </c>
      <c r="H51" s="1"/>
      <c r="I51" s="1"/>
      <c r="J51" s="1"/>
      <c r="K51" s="1"/>
      <c r="L51" s="1"/>
      <c r="M51" s="1"/>
    </row>
    <row r="52" spans="1:13" ht="14.5" x14ac:dyDescent="0.35">
      <c r="A52" s="13" t="s">
        <v>13</v>
      </c>
      <c r="B52" s="14">
        <v>45422</v>
      </c>
      <c r="C52" s="48">
        <v>897</v>
      </c>
      <c r="D52" s="49">
        <v>0</v>
      </c>
      <c r="E52" s="50">
        <v>0</v>
      </c>
      <c r="F52" s="50" t="s">
        <v>1121</v>
      </c>
      <c r="G52" s="51">
        <v>5</v>
      </c>
      <c r="H52" s="1"/>
      <c r="I52" s="1"/>
      <c r="J52" s="1"/>
      <c r="K52" s="1"/>
      <c r="L52" s="1"/>
      <c r="M52" s="1"/>
    </row>
    <row r="53" spans="1:13" ht="14.5" x14ac:dyDescent="0.35">
      <c r="A53" s="13" t="s">
        <v>16</v>
      </c>
      <c r="B53" s="14">
        <v>45423</v>
      </c>
      <c r="C53" s="52">
        <v>1141</v>
      </c>
      <c r="D53" s="53">
        <v>0</v>
      </c>
      <c r="E53" s="54">
        <v>0</v>
      </c>
      <c r="F53" s="54" t="s">
        <v>1122</v>
      </c>
      <c r="G53" s="55">
        <v>9</v>
      </c>
      <c r="H53" s="1"/>
      <c r="I53" s="1"/>
      <c r="J53" s="1"/>
      <c r="K53" s="1"/>
      <c r="L53" s="1"/>
      <c r="M53" s="1"/>
    </row>
    <row r="54" spans="1:13" ht="14.5" x14ac:dyDescent="0.35">
      <c r="A54" s="13" t="s">
        <v>18</v>
      </c>
      <c r="B54" s="14">
        <v>45424</v>
      </c>
      <c r="C54" s="48"/>
      <c r="D54" s="49"/>
      <c r="E54" s="50"/>
      <c r="F54" s="50"/>
      <c r="G54" s="51"/>
      <c r="H54" s="1"/>
      <c r="I54" s="1"/>
      <c r="J54" s="1"/>
      <c r="K54" s="1"/>
      <c r="L54" s="1"/>
      <c r="M54" s="1"/>
    </row>
    <row r="55" spans="1:13" ht="14.5" x14ac:dyDescent="0.35">
      <c r="A55" s="13" t="s">
        <v>20</v>
      </c>
      <c r="B55" s="14">
        <v>45425</v>
      </c>
      <c r="C55" s="56">
        <v>1108</v>
      </c>
      <c r="D55" s="57">
        <v>25</v>
      </c>
      <c r="E55" s="58">
        <v>3</v>
      </c>
      <c r="F55" s="58" t="s">
        <v>744</v>
      </c>
      <c r="G55" s="59">
        <v>10</v>
      </c>
      <c r="H55" s="1" t="s">
        <v>821</v>
      </c>
      <c r="I55" s="1"/>
      <c r="J55" s="1"/>
      <c r="K55" s="1"/>
      <c r="L55" s="1"/>
      <c r="M55" s="1"/>
    </row>
    <row r="56" spans="1:13" ht="14.5" x14ac:dyDescent="0.35">
      <c r="A56" s="13" t="s">
        <v>22</v>
      </c>
      <c r="B56" s="14">
        <v>45426</v>
      </c>
      <c r="C56" s="48">
        <v>1442</v>
      </c>
      <c r="D56" s="49">
        <v>0</v>
      </c>
      <c r="E56" s="50">
        <v>1</v>
      </c>
      <c r="F56" s="50" t="s">
        <v>1123</v>
      </c>
      <c r="G56" s="51">
        <v>10</v>
      </c>
      <c r="H56" s="1"/>
      <c r="I56" s="1"/>
      <c r="J56" s="1"/>
      <c r="K56" s="1"/>
      <c r="L56" s="1"/>
      <c r="M56" s="1"/>
    </row>
    <row r="57" spans="1:13" ht="14.5" x14ac:dyDescent="0.35">
      <c r="A57" s="13" t="s">
        <v>24</v>
      </c>
      <c r="B57" s="14">
        <v>45427</v>
      </c>
      <c r="C57" s="56">
        <v>2421</v>
      </c>
      <c r="D57" s="16">
        <v>85</v>
      </c>
      <c r="E57" s="38">
        <v>0</v>
      </c>
      <c r="F57" s="38" t="s">
        <v>651</v>
      </c>
      <c r="G57" s="39">
        <v>10</v>
      </c>
      <c r="H57" s="1"/>
      <c r="I57" s="1"/>
      <c r="J57" s="1"/>
      <c r="K57" s="1"/>
      <c r="L57" s="1"/>
      <c r="M57" s="1"/>
    </row>
    <row r="58" spans="1:13" ht="14.5" x14ac:dyDescent="0.35">
      <c r="A58" s="13" t="s">
        <v>10</v>
      </c>
      <c r="B58" s="14">
        <v>45428</v>
      </c>
      <c r="C58" s="32">
        <v>714</v>
      </c>
      <c r="D58" s="21">
        <v>65</v>
      </c>
      <c r="E58" s="22">
        <v>0</v>
      </c>
      <c r="F58" s="22" t="s">
        <v>1124</v>
      </c>
      <c r="G58" s="23">
        <v>13</v>
      </c>
      <c r="H58" s="1"/>
      <c r="I58" s="1"/>
      <c r="J58" s="1"/>
      <c r="K58" s="1"/>
      <c r="L58" s="1"/>
      <c r="M58" s="1"/>
    </row>
    <row r="59" spans="1:13" ht="14.5" x14ac:dyDescent="0.35">
      <c r="A59" s="13" t="s">
        <v>13</v>
      </c>
      <c r="B59" s="14">
        <v>45429</v>
      </c>
      <c r="C59" s="56">
        <v>3796</v>
      </c>
      <c r="D59" s="57">
        <v>90</v>
      </c>
      <c r="E59" s="38">
        <v>0</v>
      </c>
      <c r="F59" s="58" t="s">
        <v>1125</v>
      </c>
      <c r="G59" s="39">
        <v>16</v>
      </c>
      <c r="H59" s="1"/>
      <c r="I59" s="1"/>
      <c r="J59" s="1"/>
      <c r="K59" s="1"/>
      <c r="L59" s="1"/>
      <c r="M59" s="1"/>
    </row>
    <row r="60" spans="1:13" ht="14.5" x14ac:dyDescent="0.35">
      <c r="A60" s="13" t="s">
        <v>16</v>
      </c>
      <c r="B60" s="14">
        <v>45430</v>
      </c>
      <c r="C60" s="62">
        <v>2376</v>
      </c>
      <c r="D60" s="63">
        <v>240</v>
      </c>
      <c r="E60" s="64">
        <v>0</v>
      </c>
      <c r="F60" s="64" t="s">
        <v>1125</v>
      </c>
      <c r="G60" s="65">
        <v>11</v>
      </c>
      <c r="H60" s="1"/>
      <c r="I60" s="1"/>
      <c r="J60" s="1"/>
      <c r="K60" s="1"/>
      <c r="L60" s="1"/>
      <c r="M60" s="1"/>
    </row>
    <row r="61" spans="1:13" ht="14.5" x14ac:dyDescent="0.35">
      <c r="A61" s="13" t="s">
        <v>18</v>
      </c>
      <c r="B61" s="14">
        <v>45431</v>
      </c>
      <c r="C61" s="37"/>
      <c r="D61" s="16"/>
      <c r="E61" s="38"/>
      <c r="F61" s="38"/>
      <c r="G61" s="39"/>
      <c r="H61" s="1"/>
      <c r="I61" s="1"/>
      <c r="J61" s="1"/>
      <c r="K61" s="1"/>
      <c r="L61" s="1"/>
      <c r="M61" s="1"/>
    </row>
    <row r="62" spans="1:13" ht="14.5" x14ac:dyDescent="0.35">
      <c r="A62" s="13" t="s">
        <v>20</v>
      </c>
      <c r="B62" s="14">
        <v>45432</v>
      </c>
      <c r="C62" s="62">
        <v>2434</v>
      </c>
      <c r="D62" s="63">
        <v>205</v>
      </c>
      <c r="E62" s="64">
        <v>0</v>
      </c>
      <c r="F62" s="64" t="s">
        <v>1126</v>
      </c>
      <c r="G62" s="65">
        <v>12</v>
      </c>
      <c r="H62" s="1"/>
      <c r="I62" s="1"/>
      <c r="J62" s="1"/>
      <c r="K62" s="1"/>
      <c r="L62" s="1"/>
      <c r="M62" s="1"/>
    </row>
    <row r="63" spans="1:13" ht="14.5" x14ac:dyDescent="0.35">
      <c r="A63" s="13" t="s">
        <v>22</v>
      </c>
      <c r="B63" s="14">
        <v>45433</v>
      </c>
      <c r="C63" s="26">
        <v>3341</v>
      </c>
      <c r="D63" s="27">
        <v>180</v>
      </c>
      <c r="E63" s="28">
        <v>0</v>
      </c>
      <c r="F63" s="28" t="s">
        <v>1127</v>
      </c>
      <c r="G63" s="29">
        <v>8</v>
      </c>
      <c r="H63" s="1"/>
      <c r="I63" s="1"/>
      <c r="J63" s="1"/>
      <c r="K63" s="1"/>
      <c r="L63" s="1"/>
      <c r="M63" s="1"/>
    </row>
    <row r="64" spans="1:13" ht="14.5" x14ac:dyDescent="0.35">
      <c r="A64" s="13" t="s">
        <v>24</v>
      </c>
      <c r="B64" s="14">
        <v>45434</v>
      </c>
      <c r="C64" s="32">
        <v>4301</v>
      </c>
      <c r="D64" s="33">
        <v>25</v>
      </c>
      <c r="E64" s="34">
        <v>0</v>
      </c>
      <c r="F64" s="34" t="s">
        <v>1056</v>
      </c>
      <c r="G64" s="68">
        <v>11</v>
      </c>
      <c r="H64" s="1"/>
      <c r="I64" s="1"/>
      <c r="J64" s="1"/>
      <c r="K64" s="1"/>
      <c r="L64" s="1"/>
      <c r="M64" s="1"/>
    </row>
    <row r="65" spans="1:13" ht="14.5" x14ac:dyDescent="0.35">
      <c r="A65" s="13" t="s">
        <v>10</v>
      </c>
      <c r="B65" s="14">
        <v>45435</v>
      </c>
      <c r="C65" s="56">
        <v>669</v>
      </c>
      <c r="D65" s="57">
        <v>0</v>
      </c>
      <c r="E65" s="58">
        <v>0</v>
      </c>
      <c r="F65" s="58" t="s">
        <v>1128</v>
      </c>
      <c r="G65" s="59">
        <v>5</v>
      </c>
      <c r="H65" s="1"/>
      <c r="I65" s="1"/>
      <c r="J65" s="1"/>
      <c r="K65" s="1"/>
      <c r="L65" s="1"/>
      <c r="M65" s="1"/>
    </row>
    <row r="66" spans="1:13" ht="14.5" x14ac:dyDescent="0.35">
      <c r="A66" s="13" t="s">
        <v>13</v>
      </c>
      <c r="B66" s="14">
        <v>45436</v>
      </c>
      <c r="C66" s="62">
        <v>1744</v>
      </c>
      <c r="D66" s="63">
        <v>20</v>
      </c>
      <c r="E66" s="64">
        <v>0</v>
      </c>
      <c r="F66" s="64" t="s">
        <v>1129</v>
      </c>
      <c r="G66" s="65">
        <v>9</v>
      </c>
      <c r="H66" s="1"/>
      <c r="I66" s="1"/>
      <c r="J66" s="1"/>
      <c r="K66" s="1"/>
      <c r="L66" s="1"/>
      <c r="M66" s="1"/>
    </row>
    <row r="67" spans="1:13" ht="14.5" x14ac:dyDescent="0.35">
      <c r="A67" s="13" t="s">
        <v>16</v>
      </c>
      <c r="B67" s="14">
        <v>45437</v>
      </c>
      <c r="C67" s="56">
        <v>2222</v>
      </c>
      <c r="D67" s="57">
        <v>85</v>
      </c>
      <c r="E67" s="58">
        <v>0</v>
      </c>
      <c r="F67" s="58" t="s">
        <v>1130</v>
      </c>
      <c r="G67" s="59">
        <v>8</v>
      </c>
      <c r="H67" s="1"/>
      <c r="I67" s="1"/>
      <c r="J67" s="1"/>
      <c r="K67" s="1"/>
      <c r="L67" s="1"/>
      <c r="M67" s="1"/>
    </row>
    <row r="68" spans="1:13" ht="14.5" x14ac:dyDescent="0.35">
      <c r="A68" s="13" t="s">
        <v>18</v>
      </c>
      <c r="B68" s="14">
        <v>45438</v>
      </c>
      <c r="C68" s="32"/>
      <c r="D68" s="33"/>
      <c r="E68" s="34"/>
      <c r="F68" s="34"/>
      <c r="G68" s="68"/>
      <c r="H68" s="1"/>
      <c r="I68" s="1"/>
      <c r="J68" s="1"/>
      <c r="K68" s="1"/>
      <c r="L68" s="1"/>
      <c r="M68" s="1"/>
    </row>
    <row r="69" spans="1:13" ht="14.5" x14ac:dyDescent="0.35">
      <c r="A69" s="13" t="s">
        <v>20</v>
      </c>
      <c r="B69" s="14">
        <v>45439</v>
      </c>
      <c r="C69" s="37"/>
      <c r="D69" s="16"/>
      <c r="E69" s="38"/>
      <c r="F69" s="38"/>
      <c r="G69" s="39"/>
      <c r="H69" s="1"/>
      <c r="I69" s="1"/>
      <c r="J69" s="1"/>
      <c r="K69" s="1"/>
      <c r="L69" s="1"/>
      <c r="M69" s="1"/>
    </row>
    <row r="70" spans="1:13" ht="14.5" x14ac:dyDescent="0.35">
      <c r="A70" s="13" t="s">
        <v>22</v>
      </c>
      <c r="B70" s="14">
        <v>45440</v>
      </c>
      <c r="C70" s="20">
        <v>2748</v>
      </c>
      <c r="D70" s="21">
        <v>150</v>
      </c>
      <c r="E70" s="22">
        <v>0</v>
      </c>
      <c r="F70" s="22" t="s">
        <v>1131</v>
      </c>
      <c r="G70" s="23">
        <v>15</v>
      </c>
      <c r="H70" s="1"/>
      <c r="I70" s="1"/>
      <c r="J70" s="1"/>
      <c r="K70" s="1"/>
      <c r="L70" s="1"/>
      <c r="M70" s="1"/>
    </row>
    <row r="71" spans="1:13" ht="14.5" x14ac:dyDescent="0.35">
      <c r="A71" s="13" t="s">
        <v>24</v>
      </c>
      <c r="B71" s="14">
        <v>45441</v>
      </c>
      <c r="C71" s="56">
        <v>1920</v>
      </c>
      <c r="D71" s="182">
        <v>-25</v>
      </c>
      <c r="E71" s="38">
        <v>0</v>
      </c>
      <c r="F71" s="38" t="s">
        <v>1132</v>
      </c>
      <c r="G71" s="39">
        <v>9</v>
      </c>
      <c r="H71" s="1"/>
      <c r="I71" s="1"/>
      <c r="J71" s="1"/>
      <c r="K71" s="1"/>
      <c r="L71" s="1"/>
      <c r="M71" s="1"/>
    </row>
    <row r="72" spans="1:13" ht="14.5" x14ac:dyDescent="0.35">
      <c r="A72" s="13" t="s">
        <v>10</v>
      </c>
      <c r="B72" s="14">
        <v>45442</v>
      </c>
      <c r="C72" s="20">
        <v>2785</v>
      </c>
      <c r="D72" s="21">
        <v>100</v>
      </c>
      <c r="E72" s="22">
        <v>0</v>
      </c>
      <c r="F72" s="22" t="s">
        <v>1133</v>
      </c>
      <c r="G72" s="23">
        <v>11</v>
      </c>
      <c r="H72" s="1"/>
      <c r="I72" s="1"/>
      <c r="J72" s="1"/>
      <c r="K72" s="1"/>
      <c r="L72" s="1"/>
      <c r="M72" s="1"/>
    </row>
    <row r="73" spans="1:13" ht="14.5" x14ac:dyDescent="0.35">
      <c r="A73" s="13" t="s">
        <v>13</v>
      </c>
      <c r="B73" s="14">
        <v>45443</v>
      </c>
      <c r="C73" s="101">
        <v>1900</v>
      </c>
      <c r="D73" s="102">
        <v>100</v>
      </c>
      <c r="E73" s="103">
        <v>0</v>
      </c>
      <c r="F73" s="103" t="s">
        <v>1134</v>
      </c>
      <c r="G73" s="104">
        <v>12</v>
      </c>
      <c r="H73" s="1"/>
      <c r="I73" s="1"/>
      <c r="J73" s="1"/>
      <c r="K73" s="1"/>
      <c r="L73" s="1"/>
      <c r="M73" s="1"/>
    </row>
    <row r="74" spans="1:13" ht="14.5" x14ac:dyDescent="0.35">
      <c r="A74" s="78"/>
      <c r="B74" s="105"/>
      <c r="C74" s="79">
        <f>SUM(C43:C73)</f>
        <v>53980</v>
      </c>
      <c r="D74" s="80">
        <f>SUM(D43:D73)</f>
        <v>1843</v>
      </c>
      <c r="E74" s="81">
        <f>SUM(E43:E73)</f>
        <v>7</v>
      </c>
      <c r="F74" s="82"/>
      <c r="G74" s="82">
        <f>SUM(G43:G73)</f>
        <v>266</v>
      </c>
      <c r="H74" s="72"/>
      <c r="I74" s="72"/>
      <c r="J74" s="1"/>
      <c r="K74" s="1"/>
      <c r="L74" s="1"/>
      <c r="M74" s="1"/>
    </row>
    <row r="75" spans="1:13" ht="14.5" x14ac:dyDescent="0.35">
      <c r="A75" s="1"/>
      <c r="B75" s="84"/>
      <c r="C75" s="72"/>
      <c r="D75" s="1"/>
      <c r="E75" s="87"/>
      <c r="F75" s="88"/>
      <c r="G75" s="1"/>
      <c r="H75" s="1"/>
      <c r="I75" s="1"/>
      <c r="J75" s="1"/>
      <c r="K75" s="1"/>
      <c r="L75" s="1"/>
      <c r="M75" s="1"/>
    </row>
    <row r="76" spans="1:13" ht="14.5" x14ac:dyDescent="0.35">
      <c r="A76" s="1"/>
      <c r="B76" s="84"/>
      <c r="C76" s="72"/>
      <c r="D76" s="1"/>
      <c r="E76" s="72"/>
      <c r="F76" s="1"/>
      <c r="G76" s="1"/>
      <c r="H76" s="1"/>
      <c r="I76" s="1"/>
      <c r="J76" s="1"/>
      <c r="K76" s="1"/>
      <c r="L76" s="1"/>
      <c r="M76" s="1"/>
    </row>
    <row r="77" spans="1:13" ht="15.65" customHeight="1" x14ac:dyDescent="0.35">
      <c r="A77" s="2"/>
      <c r="B77" s="952" t="s">
        <v>53</v>
      </c>
      <c r="C77" s="954" t="s">
        <v>0</v>
      </c>
      <c r="D77" s="3" t="s">
        <v>2</v>
      </c>
      <c r="E77" s="106" t="s">
        <v>3</v>
      </c>
      <c r="F77" s="5" t="s">
        <v>6</v>
      </c>
      <c r="G77" s="6" t="s">
        <v>7</v>
      </c>
      <c r="H77" s="7"/>
      <c r="I77" s="7"/>
      <c r="J77" s="7"/>
      <c r="K77" s="7"/>
      <c r="L77" s="7"/>
      <c r="M77" s="7"/>
    </row>
    <row r="78" spans="1:13" ht="27" customHeight="1" x14ac:dyDescent="0.35">
      <c r="A78" s="8"/>
      <c r="B78" s="953"/>
      <c r="C78" s="955"/>
      <c r="D78" s="9" t="s">
        <v>0</v>
      </c>
      <c r="E78" s="107" t="s">
        <v>0</v>
      </c>
      <c r="F78" s="11" t="s">
        <v>8</v>
      </c>
      <c r="G78" s="12" t="s">
        <v>9</v>
      </c>
      <c r="H78" s="1"/>
      <c r="I78" s="1"/>
      <c r="J78" s="951" t="s">
        <v>12</v>
      </c>
      <c r="K78" s="951"/>
      <c r="L78" s="1"/>
      <c r="M78" s="1"/>
    </row>
    <row r="79" spans="1:13" ht="14.5" x14ac:dyDescent="0.35">
      <c r="A79" s="13" t="s">
        <v>24</v>
      </c>
      <c r="B79" s="14">
        <v>45413</v>
      </c>
      <c r="C79" s="15">
        <v>947</v>
      </c>
      <c r="D79" s="16">
        <v>145</v>
      </c>
      <c r="E79" s="17">
        <v>0</v>
      </c>
      <c r="F79" s="1" t="s">
        <v>1135</v>
      </c>
      <c r="G79" s="19">
        <v>12</v>
      </c>
      <c r="H79" s="1"/>
      <c r="I79" s="1"/>
      <c r="J79" s="94" t="s">
        <v>15</v>
      </c>
      <c r="K79" s="95">
        <v>56000</v>
      </c>
      <c r="L79" s="1"/>
      <c r="M79" s="1"/>
    </row>
    <row r="80" spans="1:13" ht="14.5" x14ac:dyDescent="0.35">
      <c r="A80" s="13" t="s">
        <v>10</v>
      </c>
      <c r="B80" s="14">
        <v>45414</v>
      </c>
      <c r="C80" s="20">
        <v>2339</v>
      </c>
      <c r="D80" s="21">
        <v>29</v>
      </c>
      <c r="E80" s="22">
        <v>1</v>
      </c>
      <c r="F80" s="22" t="s">
        <v>1135</v>
      </c>
      <c r="G80" s="23">
        <v>9</v>
      </c>
      <c r="H80" s="1"/>
      <c r="I80" s="1"/>
      <c r="J80" s="30" t="s">
        <v>17</v>
      </c>
      <c r="K80" s="97">
        <v>3000</v>
      </c>
      <c r="L80" s="1"/>
      <c r="M80" s="1"/>
    </row>
    <row r="81" spans="1:13" ht="14.5" x14ac:dyDescent="0.35">
      <c r="A81" s="13" t="s">
        <v>13</v>
      </c>
      <c r="B81" s="14">
        <v>45415</v>
      </c>
      <c r="C81" s="26">
        <v>2882</v>
      </c>
      <c r="D81" s="27">
        <v>87</v>
      </c>
      <c r="E81" s="28">
        <v>3</v>
      </c>
      <c r="F81" s="28" t="s">
        <v>1136</v>
      </c>
      <c r="G81" s="29">
        <v>13</v>
      </c>
      <c r="H81" s="1"/>
      <c r="I81" s="1"/>
      <c r="J81" s="98" t="s">
        <v>3</v>
      </c>
      <c r="K81" s="99">
        <v>20</v>
      </c>
      <c r="L81" s="1"/>
      <c r="M81" s="1"/>
    </row>
    <row r="82" spans="1:13" ht="14.5" x14ac:dyDescent="0.35">
      <c r="A82" s="13" t="s">
        <v>16</v>
      </c>
      <c r="B82" s="14">
        <v>45416</v>
      </c>
      <c r="C82" s="32">
        <v>2196</v>
      </c>
      <c r="D82" s="33">
        <v>116</v>
      </c>
      <c r="E82" s="34">
        <v>1</v>
      </c>
      <c r="F82" s="34" t="s">
        <v>1137</v>
      </c>
      <c r="G82" s="68">
        <v>7</v>
      </c>
      <c r="H82" s="1"/>
      <c r="I82" s="1"/>
      <c r="J82" s="1"/>
      <c r="K82" s="1"/>
      <c r="L82" s="1"/>
      <c r="M82" s="1"/>
    </row>
    <row r="83" spans="1:13" ht="14.5" x14ac:dyDescent="0.35">
      <c r="A83" s="13" t="s">
        <v>18</v>
      </c>
      <c r="B83" s="14">
        <v>45417</v>
      </c>
      <c r="C83" s="26">
        <v>887</v>
      </c>
      <c r="D83" s="27">
        <v>47</v>
      </c>
      <c r="E83" s="28">
        <v>0</v>
      </c>
      <c r="F83" s="28" t="s">
        <v>1138</v>
      </c>
      <c r="G83" s="29">
        <v>7</v>
      </c>
      <c r="H83" s="1"/>
      <c r="I83" s="1"/>
      <c r="J83" s="1"/>
      <c r="K83" s="1"/>
      <c r="L83" s="1"/>
      <c r="M83" s="1"/>
    </row>
    <row r="84" spans="1:13" ht="14.5" x14ac:dyDescent="0.35">
      <c r="A84" s="13" t="s">
        <v>20</v>
      </c>
      <c r="B84" s="14">
        <v>45418</v>
      </c>
      <c r="C84" s="20">
        <v>2361</v>
      </c>
      <c r="D84" s="21">
        <v>145</v>
      </c>
      <c r="E84" s="22">
        <v>1</v>
      </c>
      <c r="F84" s="22" t="s">
        <v>1139</v>
      </c>
      <c r="G84" s="23">
        <v>17</v>
      </c>
      <c r="H84" s="1"/>
      <c r="I84" s="1"/>
      <c r="J84" s="1"/>
      <c r="K84" s="1"/>
      <c r="L84" s="1"/>
      <c r="M84" s="1"/>
    </row>
    <row r="85" spans="1:13" ht="14.5" x14ac:dyDescent="0.35">
      <c r="A85" s="13" t="s">
        <v>22</v>
      </c>
      <c r="B85" s="14">
        <v>45419</v>
      </c>
      <c r="C85" s="37">
        <v>1760</v>
      </c>
      <c r="D85" s="16">
        <v>174</v>
      </c>
      <c r="E85" s="38">
        <v>2</v>
      </c>
      <c r="F85" s="38" t="s">
        <v>1140</v>
      </c>
      <c r="G85" s="39">
        <v>11</v>
      </c>
      <c r="H85" s="1"/>
      <c r="I85" s="1"/>
      <c r="J85" s="1"/>
      <c r="K85" s="1"/>
      <c r="L85" s="1"/>
      <c r="M85" s="1"/>
    </row>
    <row r="86" spans="1:13" ht="14.5" x14ac:dyDescent="0.35">
      <c r="A86" s="13" t="s">
        <v>24</v>
      </c>
      <c r="B86" s="14">
        <v>45420</v>
      </c>
      <c r="C86" s="40">
        <v>3362</v>
      </c>
      <c r="D86" s="41">
        <v>0</v>
      </c>
      <c r="E86" s="42">
        <v>0</v>
      </c>
      <c r="F86" s="42" t="s">
        <v>1141</v>
      </c>
      <c r="G86" s="43">
        <v>11</v>
      </c>
      <c r="H86" s="1"/>
      <c r="I86" s="1"/>
      <c r="J86" s="1"/>
      <c r="K86" s="1"/>
      <c r="L86" s="1"/>
      <c r="M86" s="1"/>
    </row>
    <row r="87" spans="1:13" ht="14.5" x14ac:dyDescent="0.35">
      <c r="A87" s="13" t="s">
        <v>10</v>
      </c>
      <c r="B87" s="14">
        <v>45421</v>
      </c>
      <c r="C87" s="44">
        <v>1074</v>
      </c>
      <c r="D87" s="45">
        <v>29</v>
      </c>
      <c r="E87" s="46">
        <v>0</v>
      </c>
      <c r="F87" s="46" t="s">
        <v>1142</v>
      </c>
      <c r="G87" s="47">
        <v>10</v>
      </c>
      <c r="H87" s="1"/>
      <c r="I87" s="1"/>
      <c r="J87" s="1"/>
      <c r="K87" s="1"/>
      <c r="L87" s="1"/>
      <c r="M87" s="1"/>
    </row>
    <row r="88" spans="1:13" ht="14.5" x14ac:dyDescent="0.35">
      <c r="A88" s="13" t="s">
        <v>13</v>
      </c>
      <c r="B88" s="14">
        <v>45422</v>
      </c>
      <c r="C88" s="48">
        <v>1160</v>
      </c>
      <c r="D88" s="49">
        <v>69</v>
      </c>
      <c r="E88" s="50">
        <v>0</v>
      </c>
      <c r="F88" s="50" t="s">
        <v>1143</v>
      </c>
      <c r="G88" s="51">
        <v>10</v>
      </c>
      <c r="H88" s="1"/>
      <c r="I88" s="1"/>
      <c r="J88" s="1"/>
      <c r="K88" s="1"/>
      <c r="L88" s="1"/>
      <c r="M88" s="1"/>
    </row>
    <row r="89" spans="1:13" ht="14.5" x14ac:dyDescent="0.35">
      <c r="A89" s="13" t="s">
        <v>16</v>
      </c>
      <c r="B89" s="14">
        <v>45423</v>
      </c>
      <c r="C89" s="52">
        <v>2894</v>
      </c>
      <c r="D89" s="53">
        <v>220</v>
      </c>
      <c r="E89" s="54">
        <v>0</v>
      </c>
      <c r="F89" s="54" t="s">
        <v>1144</v>
      </c>
      <c r="G89" s="55">
        <v>15</v>
      </c>
      <c r="H89" s="1"/>
      <c r="I89" s="1"/>
      <c r="J89" s="1"/>
      <c r="K89" s="1"/>
      <c r="L89" s="1"/>
      <c r="M89" s="1"/>
    </row>
    <row r="90" spans="1:13" ht="14.5" x14ac:dyDescent="0.35">
      <c r="A90" s="13" t="s">
        <v>18</v>
      </c>
      <c r="B90" s="14">
        <v>45424</v>
      </c>
      <c r="C90" s="48">
        <v>492</v>
      </c>
      <c r="D90" s="49">
        <v>29</v>
      </c>
      <c r="E90" s="50">
        <v>0</v>
      </c>
      <c r="F90" s="50" t="s">
        <v>1144</v>
      </c>
      <c r="G90" s="51">
        <v>1</v>
      </c>
      <c r="H90" s="1"/>
      <c r="I90" s="1"/>
      <c r="J90" s="1"/>
      <c r="K90" s="1"/>
      <c r="L90" s="1"/>
      <c r="M90" s="1"/>
    </row>
    <row r="91" spans="1:13" ht="14.5" x14ac:dyDescent="0.35">
      <c r="A91" s="13" t="s">
        <v>20</v>
      </c>
      <c r="B91" s="14">
        <v>45425</v>
      </c>
      <c r="C91" s="56">
        <v>2161</v>
      </c>
      <c r="D91" s="57">
        <v>270</v>
      </c>
      <c r="E91" s="58">
        <v>1</v>
      </c>
      <c r="F91" s="58" t="s">
        <v>1145</v>
      </c>
      <c r="G91" s="59">
        <v>16</v>
      </c>
      <c r="H91" s="1"/>
      <c r="I91" s="1"/>
      <c r="J91" s="1"/>
      <c r="K91" s="1"/>
      <c r="L91" s="1"/>
      <c r="M91" s="1"/>
    </row>
    <row r="92" spans="1:13" ht="14.5" x14ac:dyDescent="0.35">
      <c r="A92" s="13" t="s">
        <v>22</v>
      </c>
      <c r="B92" s="14">
        <v>45426</v>
      </c>
      <c r="C92" s="48">
        <v>1546</v>
      </c>
      <c r="D92" s="49">
        <v>29</v>
      </c>
      <c r="E92" s="50">
        <v>0</v>
      </c>
      <c r="F92" s="50" t="s">
        <v>1146</v>
      </c>
      <c r="G92" s="51">
        <v>10</v>
      </c>
      <c r="H92" s="1"/>
      <c r="I92" s="1"/>
      <c r="J92" s="1"/>
      <c r="K92" s="1"/>
      <c r="L92" s="1"/>
      <c r="M92" s="1"/>
    </row>
    <row r="93" spans="1:13" ht="14.5" x14ac:dyDescent="0.35">
      <c r="A93" s="13" t="s">
        <v>24</v>
      </c>
      <c r="B93" s="14">
        <v>45427</v>
      </c>
      <c r="C93" s="56">
        <v>3144</v>
      </c>
      <c r="D93" s="16">
        <v>29</v>
      </c>
      <c r="E93" s="38">
        <v>1</v>
      </c>
      <c r="F93" s="38" t="s">
        <v>1147</v>
      </c>
      <c r="G93" s="39">
        <v>11</v>
      </c>
      <c r="H93" s="1"/>
      <c r="I93" s="1"/>
      <c r="J93" s="1"/>
      <c r="K93" s="1"/>
      <c r="L93" s="1"/>
      <c r="M93" s="1"/>
    </row>
    <row r="94" spans="1:13" ht="14.5" x14ac:dyDescent="0.35">
      <c r="A94" s="13" t="s">
        <v>10</v>
      </c>
      <c r="B94" s="14">
        <v>45428</v>
      </c>
      <c r="C94" s="32">
        <v>1498</v>
      </c>
      <c r="D94" s="21">
        <v>0</v>
      </c>
      <c r="E94" s="22">
        <v>0</v>
      </c>
      <c r="F94" s="22" t="s">
        <v>1148</v>
      </c>
      <c r="G94" s="23">
        <v>7</v>
      </c>
      <c r="H94" s="1"/>
      <c r="I94" s="1"/>
      <c r="J94" s="1"/>
      <c r="K94" s="1"/>
      <c r="L94" s="1"/>
      <c r="M94" s="1"/>
    </row>
    <row r="95" spans="1:13" ht="14.5" x14ac:dyDescent="0.35">
      <c r="A95" s="13" t="s">
        <v>13</v>
      </c>
      <c r="B95" s="14">
        <v>45429</v>
      </c>
      <c r="C95" s="56">
        <v>1358</v>
      </c>
      <c r="D95" s="57">
        <v>29</v>
      </c>
      <c r="E95" s="38">
        <v>0</v>
      </c>
      <c r="F95" s="58" t="s">
        <v>1149</v>
      </c>
      <c r="G95" s="39">
        <v>8</v>
      </c>
      <c r="H95" s="1"/>
      <c r="I95" s="1"/>
      <c r="J95" s="1"/>
      <c r="K95" s="1"/>
      <c r="L95" s="1"/>
      <c r="M95" s="1"/>
    </row>
    <row r="96" spans="1:13" ht="14.5" x14ac:dyDescent="0.35">
      <c r="A96" s="13" t="s">
        <v>16</v>
      </c>
      <c r="B96" s="14">
        <v>45430</v>
      </c>
      <c r="C96" s="62">
        <v>2930</v>
      </c>
      <c r="D96" s="109">
        <v>116</v>
      </c>
      <c r="E96" s="64">
        <v>0</v>
      </c>
      <c r="F96" s="64" t="s">
        <v>1150</v>
      </c>
      <c r="G96" s="65">
        <v>13</v>
      </c>
      <c r="H96" s="1"/>
      <c r="I96" s="1"/>
      <c r="J96" s="1"/>
      <c r="K96" s="1"/>
      <c r="L96" s="1"/>
      <c r="M96" s="1"/>
    </row>
    <row r="97" spans="1:13" ht="14.5" x14ac:dyDescent="0.35">
      <c r="A97" s="13" t="s">
        <v>18</v>
      </c>
      <c r="B97" s="14">
        <v>45431</v>
      </c>
      <c r="C97" s="37">
        <v>49</v>
      </c>
      <c r="D97" s="16">
        <v>0</v>
      </c>
      <c r="E97" s="38">
        <v>0</v>
      </c>
      <c r="F97" s="38" t="s">
        <v>1151</v>
      </c>
      <c r="G97" s="39">
        <v>6</v>
      </c>
      <c r="H97" s="1"/>
      <c r="I97" s="1"/>
      <c r="J97" s="1"/>
      <c r="K97" s="1"/>
      <c r="L97" s="1"/>
      <c r="M97" s="1"/>
    </row>
    <row r="98" spans="1:13" ht="14.5" x14ac:dyDescent="0.35">
      <c r="A98" s="13" t="s">
        <v>20</v>
      </c>
      <c r="B98" s="14">
        <v>45432</v>
      </c>
      <c r="C98" s="62">
        <v>2087</v>
      </c>
      <c r="D98" s="63">
        <v>29</v>
      </c>
      <c r="E98" s="64">
        <v>0</v>
      </c>
      <c r="F98" s="64" t="s">
        <v>646</v>
      </c>
      <c r="G98" s="65">
        <v>10</v>
      </c>
      <c r="H98" s="1"/>
      <c r="I98" s="1"/>
      <c r="J98" s="1"/>
      <c r="K98" s="1"/>
      <c r="L98" s="1"/>
      <c r="M98" s="1"/>
    </row>
    <row r="99" spans="1:13" ht="14.5" x14ac:dyDescent="0.35">
      <c r="A99" s="13" t="s">
        <v>22</v>
      </c>
      <c r="B99" s="14">
        <v>45433</v>
      </c>
      <c r="C99" s="26">
        <v>1000</v>
      </c>
      <c r="D99" s="27">
        <v>98</v>
      </c>
      <c r="E99" s="28">
        <v>0</v>
      </c>
      <c r="F99" s="28" t="s">
        <v>1152</v>
      </c>
      <c r="G99" s="29">
        <v>3</v>
      </c>
      <c r="H99" s="1"/>
      <c r="I99" s="1"/>
      <c r="J99" s="1"/>
      <c r="K99" s="1"/>
      <c r="L99" s="1"/>
      <c r="M99" s="1"/>
    </row>
    <row r="100" spans="1:13" ht="14.5" x14ac:dyDescent="0.35">
      <c r="A100" s="13" t="s">
        <v>24</v>
      </c>
      <c r="B100" s="14">
        <v>45434</v>
      </c>
      <c r="C100" s="32">
        <v>1900</v>
      </c>
      <c r="D100" s="33">
        <v>29</v>
      </c>
      <c r="E100" s="34">
        <v>0</v>
      </c>
      <c r="F100" s="34" t="s">
        <v>1149</v>
      </c>
      <c r="G100" s="68">
        <v>13</v>
      </c>
      <c r="H100" s="1"/>
      <c r="I100" s="1"/>
      <c r="J100" s="1"/>
      <c r="K100" s="1"/>
      <c r="L100" s="1"/>
      <c r="M100" s="1"/>
    </row>
    <row r="101" spans="1:13" ht="14.5" x14ac:dyDescent="0.35">
      <c r="A101" s="13" t="s">
        <v>10</v>
      </c>
      <c r="B101" s="14">
        <v>45435</v>
      </c>
      <c r="C101" s="56">
        <v>1012</v>
      </c>
      <c r="D101" s="57">
        <v>29</v>
      </c>
      <c r="E101" s="58">
        <v>0</v>
      </c>
      <c r="F101" s="58" t="s">
        <v>1153</v>
      </c>
      <c r="G101" s="59">
        <v>12</v>
      </c>
      <c r="H101" s="1"/>
      <c r="I101" s="1"/>
      <c r="J101" s="1"/>
      <c r="K101" s="1"/>
      <c r="L101" s="1"/>
      <c r="M101" s="1"/>
    </row>
    <row r="102" spans="1:13" ht="14.5" x14ac:dyDescent="0.35">
      <c r="A102" s="13" t="s">
        <v>13</v>
      </c>
      <c r="B102" s="14">
        <v>45436</v>
      </c>
      <c r="C102" s="62">
        <v>1652</v>
      </c>
      <c r="D102" s="63">
        <v>29</v>
      </c>
      <c r="E102" s="64">
        <v>0</v>
      </c>
      <c r="F102" s="64" t="s">
        <v>59</v>
      </c>
      <c r="G102" s="65">
        <v>11</v>
      </c>
      <c r="H102" s="1"/>
      <c r="I102" s="1"/>
      <c r="J102" s="1"/>
      <c r="K102" s="1"/>
      <c r="L102" s="1"/>
      <c r="M102" s="1"/>
    </row>
    <row r="103" spans="1:13" ht="14.5" x14ac:dyDescent="0.35">
      <c r="A103" s="13" t="s">
        <v>16</v>
      </c>
      <c r="B103" s="14">
        <v>45437</v>
      </c>
      <c r="C103" s="56">
        <v>2815</v>
      </c>
      <c r="D103" s="57">
        <v>152</v>
      </c>
      <c r="E103" s="58">
        <v>0</v>
      </c>
      <c r="F103" s="58" t="s">
        <v>1154</v>
      </c>
      <c r="G103" s="59">
        <v>10</v>
      </c>
      <c r="H103" s="1"/>
      <c r="I103" s="1"/>
      <c r="J103" s="1"/>
      <c r="K103" s="1"/>
      <c r="L103" s="72"/>
      <c r="M103" s="1"/>
    </row>
    <row r="104" spans="1:13" ht="14.5" x14ac:dyDescent="0.35">
      <c r="A104" s="13" t="s">
        <v>18</v>
      </c>
      <c r="B104" s="14">
        <v>45438</v>
      </c>
      <c r="C104" s="32"/>
      <c r="D104" s="33"/>
      <c r="E104" s="34"/>
      <c r="F104" s="34"/>
      <c r="G104" s="68"/>
      <c r="H104" s="1"/>
      <c r="I104" s="1"/>
      <c r="J104" s="1"/>
      <c r="K104" s="1"/>
      <c r="L104" s="72"/>
      <c r="M104" s="1"/>
    </row>
    <row r="105" spans="1:13" ht="14.5" x14ac:dyDescent="0.35">
      <c r="A105" s="13" t="s">
        <v>20</v>
      </c>
      <c r="B105" s="14">
        <v>45439</v>
      </c>
      <c r="C105" s="37"/>
      <c r="D105" s="16"/>
      <c r="E105" s="38"/>
      <c r="F105" s="38"/>
      <c r="G105" s="108"/>
      <c r="H105" s="1"/>
      <c r="I105" s="1"/>
      <c r="J105" s="1"/>
      <c r="K105" s="1"/>
      <c r="L105" s="1"/>
      <c r="M105" s="1"/>
    </row>
    <row r="106" spans="1:13" ht="14.5" x14ac:dyDescent="0.35">
      <c r="A106" s="13" t="s">
        <v>22</v>
      </c>
      <c r="B106" s="14">
        <v>45440</v>
      </c>
      <c r="C106" s="20">
        <v>2288</v>
      </c>
      <c r="D106" s="21">
        <v>58</v>
      </c>
      <c r="E106" s="22">
        <v>0</v>
      </c>
      <c r="F106" s="38" t="s">
        <v>1155</v>
      </c>
      <c r="G106" s="23">
        <v>12</v>
      </c>
      <c r="H106" s="1"/>
      <c r="I106" s="1"/>
      <c r="L106" s="1"/>
      <c r="M106" s="1"/>
    </row>
    <row r="107" spans="1:13" ht="14.5" x14ac:dyDescent="0.35">
      <c r="A107" s="13" t="s">
        <v>24</v>
      </c>
      <c r="B107" s="14">
        <v>45441</v>
      </c>
      <c r="C107" s="56">
        <v>2050</v>
      </c>
      <c r="D107" s="16">
        <v>58</v>
      </c>
      <c r="E107" s="38">
        <v>0</v>
      </c>
      <c r="F107" s="1" t="s">
        <v>1156</v>
      </c>
      <c r="G107" s="39">
        <v>17</v>
      </c>
      <c r="H107" s="1"/>
      <c r="I107" s="1"/>
      <c r="L107" s="1"/>
      <c r="M107" s="1"/>
    </row>
    <row r="108" spans="1:13" ht="14.5" x14ac:dyDescent="0.35">
      <c r="A108" s="13" t="s">
        <v>10</v>
      </c>
      <c r="B108" s="14">
        <v>45442</v>
      </c>
      <c r="C108" s="20">
        <v>2036</v>
      </c>
      <c r="D108" s="21">
        <v>197</v>
      </c>
      <c r="E108" s="22">
        <v>0</v>
      </c>
      <c r="F108" s="22" t="s">
        <v>1157</v>
      </c>
      <c r="G108" s="23">
        <v>8</v>
      </c>
      <c r="H108" s="1"/>
      <c r="I108" s="1"/>
      <c r="L108" s="1"/>
      <c r="M108" s="1"/>
    </row>
    <row r="109" spans="1:13" ht="14.5" x14ac:dyDescent="0.35">
      <c r="A109" s="13" t="s">
        <v>13</v>
      </c>
      <c r="B109" s="14">
        <v>45443</v>
      </c>
      <c r="C109" s="101">
        <v>2238</v>
      </c>
      <c r="D109" s="102">
        <v>0</v>
      </c>
      <c r="E109" s="103">
        <v>0</v>
      </c>
      <c r="F109" s="103" t="s">
        <v>1158</v>
      </c>
      <c r="G109" s="104">
        <v>17</v>
      </c>
      <c r="H109" s="1"/>
      <c r="I109" s="1"/>
      <c r="L109" s="1"/>
      <c r="M109" s="1"/>
    </row>
    <row r="110" spans="1:13" ht="14.5" x14ac:dyDescent="0.35">
      <c r="A110" s="78"/>
      <c r="B110" s="105"/>
      <c r="C110" s="79">
        <f>SUM(C79:C109)</f>
        <v>54118</v>
      </c>
      <c r="D110" s="80">
        <f>SUM(D79:D109)</f>
        <v>2242</v>
      </c>
      <c r="E110" s="81">
        <f>SUM(E79:E109)</f>
        <v>10</v>
      </c>
      <c r="F110" s="82"/>
      <c r="G110" s="82">
        <f>SUM(G79:G109)</f>
        <v>307</v>
      </c>
      <c r="H110" s="72"/>
      <c r="I110" s="72"/>
      <c r="J110" s="1"/>
      <c r="K110" s="1"/>
      <c r="L110" s="1"/>
      <c r="M110" s="1"/>
    </row>
    <row r="111" spans="1:13" ht="14.5" x14ac:dyDescent="0.35">
      <c r="A111" s="1"/>
      <c r="B111" s="84"/>
      <c r="C111" s="72"/>
      <c r="D111" s="87"/>
      <c r="E111" s="88"/>
      <c r="F111" s="1"/>
      <c r="G111" s="1"/>
      <c r="H111" s="1"/>
      <c r="I111" s="1"/>
      <c r="J111" s="1"/>
      <c r="K111" s="1"/>
      <c r="L111" s="1"/>
      <c r="M111" s="1"/>
    </row>
    <row r="112" spans="1:13" ht="14.5" x14ac:dyDescent="0.35">
      <c r="A112" s="1"/>
      <c r="B112" s="84"/>
      <c r="C112" s="110"/>
      <c r="D112" s="72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4.5" x14ac:dyDescent="0.35">
      <c r="A113" s="1"/>
      <c r="B113" s="84"/>
      <c r="C113" s="72"/>
      <c r="D113" s="1"/>
      <c r="E113" s="72"/>
      <c r="F113" s="1"/>
      <c r="G113" s="1"/>
      <c r="H113" s="1"/>
      <c r="I113" s="1"/>
      <c r="J113" s="1"/>
      <c r="K113" s="1"/>
      <c r="L113" s="1"/>
      <c r="M113" s="1"/>
    </row>
    <row r="114" spans="1:13" ht="14.5" x14ac:dyDescent="0.35">
      <c r="A114" s="956" t="s">
        <v>85</v>
      </c>
      <c r="B114" s="957"/>
      <c r="C114" s="963" t="s">
        <v>1</v>
      </c>
      <c r="D114" s="964"/>
      <c r="E114" s="965"/>
      <c r="F114" s="1"/>
      <c r="G114" s="1"/>
      <c r="H114" s="1"/>
      <c r="I114" s="1"/>
      <c r="J114" s="1"/>
      <c r="K114" s="1"/>
      <c r="L114" s="1"/>
      <c r="M114" s="1"/>
    </row>
    <row r="115" spans="1:13" ht="14.5" x14ac:dyDescent="0.35">
      <c r="A115" s="958"/>
      <c r="B115" s="959"/>
      <c r="C115" s="966"/>
      <c r="D115" s="967"/>
      <c r="E115" s="968"/>
      <c r="F115" s="1"/>
      <c r="G115" s="1"/>
      <c r="H115" s="1"/>
      <c r="I115" s="1"/>
      <c r="J115" s="1"/>
      <c r="K115" s="1"/>
      <c r="L115" s="1"/>
      <c r="M115" s="1"/>
    </row>
    <row r="116" spans="1:13" ht="15.5" x14ac:dyDescent="0.35">
      <c r="A116" s="958"/>
      <c r="B116" s="960"/>
      <c r="C116" s="969" t="s">
        <v>88</v>
      </c>
      <c r="D116" s="111" t="s">
        <v>89</v>
      </c>
      <c r="E116" s="112" t="s">
        <v>90</v>
      </c>
      <c r="F116" s="174" t="s">
        <v>91</v>
      </c>
      <c r="G116" s="1"/>
      <c r="H116" s="1"/>
      <c r="I116" s="1"/>
      <c r="J116" s="1"/>
      <c r="K116" s="1"/>
      <c r="L116" s="1"/>
      <c r="M116" s="1"/>
    </row>
    <row r="117" spans="1:13" ht="14.5" x14ac:dyDescent="0.35">
      <c r="A117" s="961"/>
      <c r="B117" s="962"/>
      <c r="C117" s="970"/>
      <c r="D117" s="11" t="s">
        <v>7</v>
      </c>
      <c r="E117" s="113" t="s">
        <v>0</v>
      </c>
      <c r="F117" s="175" t="s">
        <v>0</v>
      </c>
      <c r="G117" s="1"/>
      <c r="H117" s="1"/>
      <c r="I117" s="1"/>
      <c r="J117" s="1"/>
      <c r="K117" s="1"/>
      <c r="L117" s="1"/>
      <c r="M117" s="1"/>
    </row>
    <row r="118" spans="1:13" ht="14.5" x14ac:dyDescent="0.35">
      <c r="A118" s="13" t="s">
        <v>24</v>
      </c>
      <c r="B118" s="14">
        <v>45413</v>
      </c>
      <c r="C118" s="13">
        <v>1493</v>
      </c>
      <c r="D118" s="114">
        <v>12</v>
      </c>
      <c r="E118" s="19">
        <v>0</v>
      </c>
      <c r="F118" s="19">
        <v>0</v>
      </c>
      <c r="G118" s="1"/>
      <c r="H118" s="1"/>
      <c r="I118" s="1"/>
      <c r="J118" s="1"/>
      <c r="K118" s="1"/>
      <c r="L118" s="1"/>
      <c r="M118" s="1"/>
    </row>
    <row r="119" spans="1:13" ht="14.5" x14ac:dyDescent="0.35">
      <c r="A119" s="13" t="s">
        <v>10</v>
      </c>
      <c r="B119" s="14">
        <v>45414</v>
      </c>
      <c r="C119" s="115">
        <v>2287</v>
      </c>
      <c r="D119" s="116">
        <v>12</v>
      </c>
      <c r="E119" s="23">
        <v>0</v>
      </c>
      <c r="F119" s="23">
        <v>1</v>
      </c>
      <c r="G119" s="1"/>
      <c r="H119" s="1"/>
      <c r="I119" s="1"/>
      <c r="J119" s="1"/>
      <c r="K119" s="1"/>
      <c r="L119" s="1"/>
      <c r="M119" s="1"/>
    </row>
    <row r="120" spans="1:13" ht="14.5" x14ac:dyDescent="0.35">
      <c r="A120" s="13" t="s">
        <v>13</v>
      </c>
      <c r="B120" s="14">
        <v>45415</v>
      </c>
      <c r="C120" s="117">
        <v>1192</v>
      </c>
      <c r="D120" s="114">
        <v>16</v>
      </c>
      <c r="E120" s="29">
        <v>0</v>
      </c>
      <c r="F120" s="29">
        <v>0</v>
      </c>
      <c r="G120" s="1"/>
      <c r="H120" s="1"/>
      <c r="I120" s="1"/>
      <c r="J120" s="1"/>
      <c r="K120" s="1"/>
      <c r="L120" s="1"/>
      <c r="M120" s="1"/>
    </row>
    <row r="121" spans="1:13" ht="14.5" x14ac:dyDescent="0.35">
      <c r="A121" s="13" t="s">
        <v>16</v>
      </c>
      <c r="B121" s="14">
        <v>45416</v>
      </c>
      <c r="C121" s="118">
        <v>460</v>
      </c>
      <c r="D121" s="116">
        <v>13</v>
      </c>
      <c r="E121" s="68">
        <v>0</v>
      </c>
      <c r="F121" s="68">
        <v>1</v>
      </c>
      <c r="G121" s="1"/>
      <c r="H121" s="1"/>
      <c r="I121" s="1"/>
      <c r="J121" s="1"/>
      <c r="K121" s="1"/>
      <c r="L121" s="1"/>
      <c r="M121" s="1"/>
    </row>
    <row r="122" spans="1:13" ht="14.5" x14ac:dyDescent="0.35">
      <c r="A122" s="13" t="s">
        <v>18</v>
      </c>
      <c r="B122" s="14">
        <v>45417</v>
      </c>
      <c r="C122" s="117"/>
      <c r="D122" s="114"/>
      <c r="E122" s="29"/>
      <c r="F122" s="29"/>
      <c r="G122" s="1"/>
      <c r="H122" s="1"/>
      <c r="I122" s="1"/>
      <c r="J122" s="1"/>
      <c r="K122" s="1"/>
      <c r="L122" s="1"/>
      <c r="M122" s="1"/>
    </row>
    <row r="123" spans="1:13" ht="14.5" x14ac:dyDescent="0.35">
      <c r="A123" s="13" t="s">
        <v>20</v>
      </c>
      <c r="B123" s="14">
        <v>45418</v>
      </c>
      <c r="C123" s="119">
        <v>1627</v>
      </c>
      <c r="D123" s="116">
        <v>18</v>
      </c>
      <c r="E123" s="23">
        <v>0</v>
      </c>
      <c r="F123" s="23">
        <v>0</v>
      </c>
      <c r="G123" s="1"/>
      <c r="H123" s="1"/>
      <c r="I123" s="1"/>
      <c r="J123" s="1"/>
      <c r="K123" s="1"/>
      <c r="L123" s="1"/>
      <c r="M123" s="1"/>
    </row>
    <row r="124" spans="1:13" ht="14.5" x14ac:dyDescent="0.35">
      <c r="A124" s="13" t="s">
        <v>22</v>
      </c>
      <c r="B124" s="14">
        <v>45419</v>
      </c>
      <c r="C124" s="120">
        <v>5438</v>
      </c>
      <c r="D124" s="114">
        <v>17</v>
      </c>
      <c r="E124" s="39">
        <v>0</v>
      </c>
      <c r="F124" s="39">
        <v>0</v>
      </c>
      <c r="G124" s="1"/>
      <c r="H124" s="1"/>
      <c r="I124" s="1"/>
      <c r="J124" s="1"/>
      <c r="K124" s="1"/>
      <c r="L124" s="1"/>
      <c r="M124" s="1"/>
    </row>
    <row r="125" spans="1:13" ht="14.5" x14ac:dyDescent="0.35">
      <c r="A125" s="13" t="s">
        <v>24</v>
      </c>
      <c r="B125" s="14">
        <v>45420</v>
      </c>
      <c r="C125" s="121">
        <v>2830</v>
      </c>
      <c r="D125" s="116">
        <v>19</v>
      </c>
      <c r="E125" s="43">
        <v>0</v>
      </c>
      <c r="F125" s="43">
        <v>0</v>
      </c>
      <c r="G125" s="1"/>
      <c r="H125" s="1"/>
      <c r="I125" s="1"/>
      <c r="J125" s="1"/>
      <c r="K125" s="1"/>
      <c r="L125" s="1"/>
      <c r="M125" s="1"/>
    </row>
    <row r="126" spans="1:13" ht="14.5" x14ac:dyDescent="0.35">
      <c r="A126" s="13" t="s">
        <v>10</v>
      </c>
      <c r="B126" s="14">
        <v>45421</v>
      </c>
      <c r="C126" s="122">
        <v>2860</v>
      </c>
      <c r="D126" s="114">
        <v>15</v>
      </c>
      <c r="E126" s="47">
        <v>0</v>
      </c>
      <c r="F126" s="47">
        <v>0</v>
      </c>
      <c r="G126" s="1"/>
      <c r="H126" s="1"/>
      <c r="I126" s="1"/>
      <c r="J126" s="1"/>
      <c r="K126" s="1"/>
      <c r="L126" s="1"/>
      <c r="M126" s="1"/>
    </row>
    <row r="127" spans="1:13" ht="14.5" x14ac:dyDescent="0.35">
      <c r="A127" s="13" t="s">
        <v>13</v>
      </c>
      <c r="B127" s="14">
        <v>45422</v>
      </c>
      <c r="C127" s="122">
        <v>1953</v>
      </c>
      <c r="D127" s="116">
        <v>14</v>
      </c>
      <c r="E127" s="51">
        <v>0</v>
      </c>
      <c r="F127" s="51">
        <v>0</v>
      </c>
      <c r="G127" s="1"/>
      <c r="H127" s="1"/>
      <c r="I127" s="1"/>
      <c r="J127" s="1"/>
      <c r="K127" s="1"/>
      <c r="L127" s="1"/>
      <c r="M127" s="1"/>
    </row>
    <row r="128" spans="1:13" ht="14.5" x14ac:dyDescent="0.35">
      <c r="A128" s="13" t="s">
        <v>16</v>
      </c>
      <c r="B128" s="14">
        <v>45423</v>
      </c>
      <c r="C128" s="122">
        <v>429</v>
      </c>
      <c r="D128" s="114">
        <v>10</v>
      </c>
      <c r="E128" s="55">
        <v>0</v>
      </c>
      <c r="F128" s="55">
        <v>0</v>
      </c>
      <c r="G128" s="1"/>
      <c r="H128" s="1"/>
      <c r="I128" s="1"/>
      <c r="J128" s="1"/>
      <c r="K128" s="1"/>
      <c r="L128" s="1"/>
      <c r="M128" s="1"/>
    </row>
    <row r="129" spans="1:13" ht="14.5" x14ac:dyDescent="0.35">
      <c r="A129" s="13" t="s">
        <v>18</v>
      </c>
      <c r="B129" s="14">
        <v>45424</v>
      </c>
      <c r="C129" s="122"/>
      <c r="D129" s="116"/>
      <c r="E129" s="51"/>
      <c r="F129" s="51"/>
      <c r="G129" s="1"/>
      <c r="H129" s="1"/>
      <c r="I129" s="1"/>
      <c r="J129" s="1"/>
      <c r="K129" s="1"/>
      <c r="L129" s="1"/>
      <c r="M129" s="1"/>
    </row>
    <row r="130" spans="1:13" ht="14.5" x14ac:dyDescent="0.35">
      <c r="A130" s="13" t="s">
        <v>20</v>
      </c>
      <c r="B130" s="14">
        <v>45425</v>
      </c>
      <c r="C130" s="122">
        <v>1304</v>
      </c>
      <c r="D130" s="114">
        <v>17</v>
      </c>
      <c r="E130" s="59">
        <v>0</v>
      </c>
      <c r="F130" s="59">
        <v>0</v>
      </c>
      <c r="G130" s="1"/>
      <c r="H130" s="1"/>
      <c r="I130" s="1"/>
      <c r="J130" s="1"/>
      <c r="K130" s="1"/>
      <c r="L130" s="1"/>
      <c r="M130" s="1"/>
    </row>
    <row r="131" spans="1:13" ht="14.5" x14ac:dyDescent="0.35">
      <c r="A131" s="13" t="s">
        <v>22</v>
      </c>
      <c r="B131" s="14">
        <v>45426</v>
      </c>
      <c r="C131" s="122">
        <v>4150</v>
      </c>
      <c r="D131" s="116">
        <v>25</v>
      </c>
      <c r="E131" s="51">
        <v>0</v>
      </c>
      <c r="F131" s="51">
        <v>0</v>
      </c>
      <c r="G131" s="1"/>
      <c r="H131" s="1"/>
      <c r="I131" s="1"/>
      <c r="J131" s="1"/>
      <c r="K131" s="1"/>
      <c r="L131" s="1"/>
      <c r="M131" s="1"/>
    </row>
    <row r="132" spans="1:13" ht="14.5" x14ac:dyDescent="0.35">
      <c r="A132" s="13" t="s">
        <v>24</v>
      </c>
      <c r="B132" s="14">
        <v>45427</v>
      </c>
      <c r="C132" s="122">
        <v>2046</v>
      </c>
      <c r="D132" s="114">
        <v>17</v>
      </c>
      <c r="E132" s="59">
        <v>0</v>
      </c>
      <c r="F132" s="59">
        <v>0</v>
      </c>
      <c r="G132" s="1"/>
      <c r="H132" s="1"/>
      <c r="I132" s="1"/>
      <c r="J132" s="1"/>
      <c r="K132" s="1"/>
      <c r="L132" s="1"/>
      <c r="M132" s="1"/>
    </row>
    <row r="133" spans="1:13" ht="14.5" x14ac:dyDescent="0.35">
      <c r="A133" s="13" t="s">
        <v>10</v>
      </c>
      <c r="B133" s="14">
        <v>45428</v>
      </c>
      <c r="C133" s="122">
        <v>1242</v>
      </c>
      <c r="D133" s="116">
        <v>19</v>
      </c>
      <c r="E133" s="23">
        <v>0</v>
      </c>
      <c r="F133" s="23">
        <v>0</v>
      </c>
      <c r="G133" s="1"/>
      <c r="H133" s="1"/>
      <c r="I133" s="1"/>
      <c r="J133" s="1"/>
      <c r="K133" s="1"/>
      <c r="L133" s="1"/>
      <c r="M133" s="1"/>
    </row>
    <row r="134" spans="1:13" ht="14.5" x14ac:dyDescent="0.35">
      <c r="A134" s="13" t="s">
        <v>13</v>
      </c>
      <c r="B134" s="14">
        <v>45429</v>
      </c>
      <c r="C134" s="122">
        <v>4033</v>
      </c>
      <c r="D134" s="123">
        <v>19</v>
      </c>
      <c r="E134" s="59">
        <v>0</v>
      </c>
      <c r="F134" s="59">
        <v>3</v>
      </c>
      <c r="G134" s="1"/>
      <c r="H134" s="1"/>
      <c r="I134" s="1"/>
      <c r="J134" s="1"/>
      <c r="K134" s="1"/>
      <c r="L134" s="1"/>
      <c r="M134" s="1"/>
    </row>
    <row r="135" spans="1:13" ht="14.5" x14ac:dyDescent="0.35">
      <c r="A135" s="13" t="s">
        <v>16</v>
      </c>
      <c r="B135" s="14">
        <v>45430</v>
      </c>
      <c r="C135" s="122">
        <v>430</v>
      </c>
      <c r="D135" s="124">
        <v>8</v>
      </c>
      <c r="E135" s="65">
        <v>0</v>
      </c>
      <c r="F135" s="65">
        <v>2</v>
      </c>
      <c r="G135" s="1"/>
      <c r="H135" s="1"/>
      <c r="I135" s="1"/>
      <c r="J135" s="1"/>
      <c r="K135" s="1"/>
      <c r="L135" s="1"/>
      <c r="M135" s="1"/>
    </row>
    <row r="136" spans="1:13" ht="14.5" x14ac:dyDescent="0.35">
      <c r="A136" s="13" t="s">
        <v>18</v>
      </c>
      <c r="B136" s="14">
        <v>45431</v>
      </c>
      <c r="C136" s="122"/>
      <c r="D136" s="125"/>
      <c r="E136" s="39"/>
      <c r="F136" s="39"/>
      <c r="G136" s="1"/>
      <c r="H136" s="1"/>
      <c r="I136" s="1"/>
      <c r="J136" s="1"/>
      <c r="K136" s="1"/>
      <c r="L136" s="1"/>
      <c r="M136" s="1"/>
    </row>
    <row r="137" spans="1:13" ht="14.5" x14ac:dyDescent="0.35">
      <c r="A137" s="13" t="s">
        <v>20</v>
      </c>
      <c r="B137" s="14">
        <v>45432</v>
      </c>
      <c r="C137" s="122">
        <v>3134</v>
      </c>
      <c r="D137" s="124">
        <v>10</v>
      </c>
      <c r="E137" s="65">
        <v>0</v>
      </c>
      <c r="F137" s="65">
        <v>0</v>
      </c>
      <c r="G137" s="1"/>
      <c r="H137" s="1"/>
      <c r="I137" s="1"/>
      <c r="J137" s="1"/>
      <c r="K137" s="1"/>
      <c r="L137" s="1"/>
      <c r="M137" s="1"/>
    </row>
    <row r="138" spans="1:13" ht="14.5" x14ac:dyDescent="0.35">
      <c r="A138" s="13" t="s">
        <v>22</v>
      </c>
      <c r="B138" s="14">
        <v>45433</v>
      </c>
      <c r="C138" s="122">
        <v>1617</v>
      </c>
      <c r="D138" s="123">
        <v>22</v>
      </c>
      <c r="E138" s="29">
        <v>0</v>
      </c>
      <c r="F138" s="29">
        <v>1</v>
      </c>
      <c r="G138" s="1"/>
      <c r="H138" s="1"/>
      <c r="I138" s="1"/>
      <c r="J138" s="1"/>
      <c r="K138" s="1"/>
      <c r="L138" s="1"/>
      <c r="M138" s="1"/>
    </row>
    <row r="139" spans="1:13" ht="14.5" x14ac:dyDescent="0.35">
      <c r="A139" s="13" t="s">
        <v>24</v>
      </c>
      <c r="B139" s="14">
        <v>45434</v>
      </c>
      <c r="C139" s="122">
        <v>4147</v>
      </c>
      <c r="D139" s="124">
        <v>22</v>
      </c>
      <c r="E139" s="68">
        <v>0</v>
      </c>
      <c r="F139" s="68">
        <v>2</v>
      </c>
      <c r="G139" s="1"/>
      <c r="H139" s="1"/>
      <c r="I139" s="1"/>
      <c r="J139" s="1"/>
      <c r="K139" s="1"/>
      <c r="L139" s="1"/>
      <c r="M139" s="1"/>
    </row>
    <row r="140" spans="1:13" ht="14.5" x14ac:dyDescent="0.35">
      <c r="A140" s="13" t="s">
        <v>10</v>
      </c>
      <c r="B140" s="14">
        <v>45435</v>
      </c>
      <c r="C140" s="122">
        <v>3030</v>
      </c>
      <c r="D140" s="123">
        <v>20</v>
      </c>
      <c r="E140" s="59">
        <v>0</v>
      </c>
      <c r="F140" s="59">
        <v>0</v>
      </c>
      <c r="G140" s="1"/>
      <c r="H140" s="1"/>
      <c r="I140" s="1"/>
      <c r="J140" s="1"/>
      <c r="K140" s="1"/>
      <c r="L140" s="1"/>
      <c r="M140" s="1"/>
    </row>
    <row r="141" spans="1:13" ht="14.5" x14ac:dyDescent="0.35">
      <c r="A141" s="13" t="s">
        <v>13</v>
      </c>
      <c r="B141" s="14">
        <v>45436</v>
      </c>
      <c r="C141" s="122">
        <v>3272</v>
      </c>
      <c r="D141" s="124">
        <v>16</v>
      </c>
      <c r="E141" s="65">
        <v>0</v>
      </c>
      <c r="F141" s="65">
        <v>2</v>
      </c>
      <c r="G141" s="1"/>
      <c r="H141" s="1"/>
      <c r="I141" s="1"/>
      <c r="J141" s="1"/>
      <c r="K141" s="1"/>
      <c r="L141" s="1"/>
      <c r="M141" s="1"/>
    </row>
    <row r="142" spans="1:13" ht="14.5" x14ac:dyDescent="0.35">
      <c r="A142" s="13" t="s">
        <v>16</v>
      </c>
      <c r="B142" s="14">
        <v>45437</v>
      </c>
      <c r="C142" s="122">
        <v>1095</v>
      </c>
      <c r="D142" s="123">
        <v>8</v>
      </c>
      <c r="E142" s="59">
        <v>0</v>
      </c>
      <c r="F142" s="59">
        <v>1</v>
      </c>
      <c r="G142" s="1"/>
      <c r="H142" s="1"/>
      <c r="I142" s="1"/>
      <c r="J142" s="1"/>
      <c r="K142" s="1"/>
      <c r="L142" s="1"/>
      <c r="M142" s="1"/>
    </row>
    <row r="143" spans="1:13" ht="14.5" x14ac:dyDescent="0.35">
      <c r="A143" s="13" t="s">
        <v>18</v>
      </c>
      <c r="B143" s="14">
        <v>45438</v>
      </c>
      <c r="C143" s="126"/>
      <c r="D143" s="124"/>
      <c r="E143" s="68"/>
      <c r="F143" s="68"/>
      <c r="G143" s="1"/>
      <c r="H143" s="1"/>
      <c r="I143" s="1"/>
      <c r="J143" s="1"/>
      <c r="K143" s="1"/>
      <c r="L143" s="1"/>
      <c r="M143" s="1"/>
    </row>
    <row r="144" spans="1:13" ht="14.5" x14ac:dyDescent="0.35">
      <c r="A144" s="13" t="s">
        <v>20</v>
      </c>
      <c r="B144" s="14">
        <v>45439</v>
      </c>
      <c r="C144" s="127"/>
      <c r="D144" s="123"/>
      <c r="E144" s="39"/>
      <c r="F144" s="39"/>
      <c r="G144" s="1"/>
      <c r="H144" s="1"/>
      <c r="I144" s="1"/>
      <c r="J144" s="1"/>
      <c r="K144" s="1"/>
      <c r="L144" s="1"/>
      <c r="M144" s="1"/>
    </row>
    <row r="145" spans="1:13" ht="14.5" x14ac:dyDescent="0.35">
      <c r="A145" s="13" t="s">
        <v>22</v>
      </c>
      <c r="B145" s="14">
        <v>45440</v>
      </c>
      <c r="C145" s="128">
        <v>2645</v>
      </c>
      <c r="D145" s="124">
        <v>25</v>
      </c>
      <c r="E145" s="23">
        <v>0</v>
      </c>
      <c r="F145" s="23">
        <v>5</v>
      </c>
      <c r="G145" s="1"/>
      <c r="H145" s="1"/>
      <c r="I145" s="1"/>
      <c r="J145" s="1"/>
      <c r="K145" s="1"/>
      <c r="L145" s="1"/>
      <c r="M145" s="1"/>
    </row>
    <row r="146" spans="1:13" ht="14.5" x14ac:dyDescent="0.35">
      <c r="A146" s="13" t="s">
        <v>24</v>
      </c>
      <c r="B146" s="14">
        <v>45441</v>
      </c>
      <c r="C146" s="127">
        <v>3425</v>
      </c>
      <c r="D146" s="123">
        <v>20</v>
      </c>
      <c r="E146" s="39">
        <v>1</v>
      </c>
      <c r="F146" s="39">
        <v>0</v>
      </c>
      <c r="G146" s="1"/>
      <c r="H146" s="1"/>
      <c r="I146" s="1"/>
      <c r="J146" s="1"/>
      <c r="K146" s="1"/>
      <c r="L146" s="1"/>
      <c r="M146" s="1"/>
    </row>
    <row r="147" spans="1:13" ht="14.5" x14ac:dyDescent="0.35">
      <c r="A147" s="13" t="s">
        <v>10</v>
      </c>
      <c r="B147" s="14">
        <v>45442</v>
      </c>
      <c r="C147" s="128">
        <v>871</v>
      </c>
      <c r="D147" s="124">
        <v>16</v>
      </c>
      <c r="E147" s="23">
        <v>0</v>
      </c>
      <c r="F147" s="23">
        <v>1</v>
      </c>
      <c r="G147" s="1"/>
      <c r="H147" s="1"/>
      <c r="I147" s="1"/>
      <c r="J147" s="1"/>
      <c r="K147" s="1"/>
      <c r="L147" s="1"/>
      <c r="M147" s="1"/>
    </row>
    <row r="148" spans="1:13" ht="14.5" x14ac:dyDescent="0.35">
      <c r="A148" s="13" t="s">
        <v>13</v>
      </c>
      <c r="B148" s="14">
        <v>45443</v>
      </c>
      <c r="C148" s="129">
        <v>974</v>
      </c>
      <c r="D148" s="130">
        <v>15</v>
      </c>
      <c r="E148" s="104">
        <v>0</v>
      </c>
      <c r="F148" s="104">
        <v>1</v>
      </c>
      <c r="G148" s="1"/>
      <c r="H148" s="1"/>
      <c r="I148" s="1"/>
      <c r="J148" s="1"/>
      <c r="K148" s="1"/>
      <c r="L148" s="1"/>
      <c r="M148" s="1"/>
    </row>
    <row r="149" spans="1:13" ht="14.5" x14ac:dyDescent="0.35">
      <c r="A149" s="78"/>
      <c r="B149" s="105"/>
      <c r="C149" s="131">
        <f>SUM(C118:C148)</f>
        <v>57984</v>
      </c>
      <c r="D149" s="132">
        <f>SUM(D118:D148)</f>
        <v>425</v>
      </c>
      <c r="E149" s="133">
        <f>SUM(E118:E148)</f>
        <v>1</v>
      </c>
      <c r="F149" s="176">
        <f>SUM(F118:F148)</f>
        <v>20</v>
      </c>
      <c r="G149" s="1"/>
      <c r="H149" s="1"/>
      <c r="I149" s="1"/>
      <c r="J149" s="1"/>
      <c r="K149" s="1"/>
      <c r="L149" s="1"/>
      <c r="M149" s="1"/>
    </row>
    <row r="150" spans="1:13" ht="14.5" x14ac:dyDescent="0.35">
      <c r="A150" s="1"/>
      <c r="B150" s="84"/>
      <c r="C150" s="72"/>
      <c r="D150" s="1"/>
      <c r="E150" s="72"/>
      <c r="F150" s="72"/>
      <c r="G150" s="1"/>
      <c r="H150" s="1"/>
      <c r="I150" s="1"/>
      <c r="J150" s="1"/>
      <c r="K150" s="1"/>
      <c r="L150" s="1"/>
      <c r="M150" s="1"/>
    </row>
    <row r="151" spans="1:13" ht="14.5" x14ac:dyDescent="0.35">
      <c r="A151" s="1"/>
      <c r="B151" s="134"/>
      <c r="C151" s="72"/>
      <c r="D151" s="1"/>
      <c r="E151" s="72"/>
      <c r="F151" s="1"/>
      <c r="G151" s="1"/>
      <c r="H151" s="1"/>
      <c r="I151" s="1"/>
      <c r="J151" s="1"/>
      <c r="K151" s="1"/>
      <c r="L151" s="1"/>
      <c r="M151" s="1"/>
    </row>
    <row r="152" spans="1:13" ht="14.5" x14ac:dyDescent="0.35">
      <c r="A152" s="1"/>
      <c r="B152" s="1"/>
      <c r="C152" s="88"/>
      <c r="D152" s="88"/>
      <c r="E152" s="87"/>
      <c r="F152" s="88"/>
      <c r="G152" s="88"/>
      <c r="H152" s="1"/>
      <c r="I152" s="1"/>
      <c r="J152" s="1"/>
      <c r="K152" s="1"/>
      <c r="L152" s="1"/>
      <c r="M152" s="1"/>
    </row>
    <row r="153" spans="1:13" ht="14.5" x14ac:dyDescent="0.35">
      <c r="A153" s="135"/>
      <c r="B153" s="136" t="s">
        <v>103</v>
      </c>
      <c r="C153" s="137" t="s">
        <v>93</v>
      </c>
      <c r="D153" s="138" t="s">
        <v>1159</v>
      </c>
      <c r="E153" s="139"/>
      <c r="F153" s="88"/>
      <c r="G153" s="88"/>
      <c r="H153" s="88"/>
      <c r="I153" s="88"/>
      <c r="J153" s="139" t="s">
        <v>111</v>
      </c>
      <c r="K153" s="139" t="s">
        <v>112</v>
      </c>
      <c r="L153" s="139" t="s">
        <v>113</v>
      </c>
      <c r="M153" s="139" t="s">
        <v>114</v>
      </c>
    </row>
    <row r="154" spans="1:13" ht="14.5" x14ac:dyDescent="0.35">
      <c r="A154" s="140" t="s">
        <v>99</v>
      </c>
      <c r="B154" s="141">
        <f>C35/26*26</f>
        <v>72600</v>
      </c>
      <c r="C154" s="181">
        <f>B154-70000</f>
        <v>2600</v>
      </c>
      <c r="D154" s="143">
        <v>61891.916666666664</v>
      </c>
      <c r="E154" s="144" t="s">
        <v>99</v>
      </c>
      <c r="F154" s="72"/>
      <c r="G154" s="1"/>
      <c r="H154" s="1"/>
      <c r="I154" s="1"/>
      <c r="J154" s="145">
        <v>59678</v>
      </c>
      <c r="K154" s="146">
        <v>65325</v>
      </c>
      <c r="L154" s="147">
        <v>71363</v>
      </c>
      <c r="M154" s="147">
        <v>75374</v>
      </c>
    </row>
    <row r="155" spans="1:13" ht="14.5" x14ac:dyDescent="0.35">
      <c r="A155" s="148" t="s">
        <v>37</v>
      </c>
      <c r="B155" s="141">
        <f>C74/26*26</f>
        <v>53980</v>
      </c>
      <c r="C155" s="181">
        <f>B155-53000</f>
        <v>980</v>
      </c>
      <c r="D155" s="143">
        <v>45358.333333333336</v>
      </c>
      <c r="E155" s="144" t="s">
        <v>37</v>
      </c>
      <c r="F155" s="72"/>
      <c r="G155" s="1"/>
      <c r="H155" s="1"/>
      <c r="I155" s="1"/>
      <c r="J155" s="145">
        <v>43365</v>
      </c>
      <c r="K155" s="146">
        <v>38287</v>
      </c>
      <c r="L155" s="147">
        <v>45858</v>
      </c>
      <c r="M155" s="147">
        <v>55612</v>
      </c>
    </row>
    <row r="156" spans="1:13" ht="14.5" x14ac:dyDescent="0.35">
      <c r="A156" s="148" t="s">
        <v>100</v>
      </c>
      <c r="B156" s="141">
        <f>C110/26*26</f>
        <v>54118</v>
      </c>
      <c r="C156" s="142">
        <f>B156-56000</f>
        <v>-1882</v>
      </c>
      <c r="D156" s="143">
        <v>39284.25</v>
      </c>
      <c r="E156" s="144" t="s">
        <v>100</v>
      </c>
      <c r="F156" s="72"/>
      <c r="G156" s="1"/>
      <c r="H156" s="1"/>
      <c r="I156" s="1"/>
      <c r="J156" s="145">
        <v>43344</v>
      </c>
      <c r="K156" s="146">
        <v>54088</v>
      </c>
      <c r="L156" s="147">
        <v>56961</v>
      </c>
      <c r="M156" s="147">
        <v>56144</v>
      </c>
    </row>
    <row r="157" spans="1:13" ht="14.5" x14ac:dyDescent="0.35">
      <c r="A157" s="149" t="s">
        <v>88</v>
      </c>
      <c r="B157" s="141">
        <f>C149/26*26</f>
        <v>57984</v>
      </c>
      <c r="C157" s="150"/>
      <c r="D157" s="1"/>
      <c r="E157" s="72"/>
      <c r="F157" s="1"/>
      <c r="G157" s="1"/>
      <c r="H157" s="1"/>
      <c r="I157" s="1"/>
      <c r="J157" s="145">
        <v>34063</v>
      </c>
      <c r="K157" s="146">
        <v>44190</v>
      </c>
      <c r="L157" s="147">
        <v>32129</v>
      </c>
      <c r="M157" s="147">
        <v>67460</v>
      </c>
    </row>
    <row r="158" spans="1:13" ht="14.5" x14ac:dyDescent="0.35">
      <c r="A158" s="151" t="s">
        <v>101</v>
      </c>
      <c r="B158" s="152">
        <f>SUM(B154:B157)</f>
        <v>238682</v>
      </c>
      <c r="C158" s="153">
        <f>SUM(C154:C156)</f>
        <v>1698</v>
      </c>
      <c r="D158" s="1"/>
      <c r="E158" s="1"/>
      <c r="F158" s="1"/>
      <c r="G158" s="1"/>
      <c r="H158" s="1"/>
      <c r="I158" s="1"/>
      <c r="J158" s="154">
        <v>180450</v>
      </c>
      <c r="K158" s="154">
        <f>SUM(K154:K157)</f>
        <v>201890</v>
      </c>
      <c r="L158" s="154">
        <f>SUM(L154:L157)</f>
        <v>206311</v>
      </c>
      <c r="M158" s="154">
        <f>SUM(M154:M157)</f>
        <v>254590</v>
      </c>
    </row>
    <row r="159" spans="1:13" ht="14.5" x14ac:dyDescent="0.35">
      <c r="A159" s="155"/>
      <c r="B159" s="156">
        <f>B158/26</f>
        <v>9180.0769230769238</v>
      </c>
      <c r="C159" s="157"/>
      <c r="D159" s="155"/>
      <c r="E159" s="155"/>
      <c r="F159" s="155"/>
      <c r="G159" s="155"/>
      <c r="H159" s="155"/>
      <c r="I159" s="155"/>
      <c r="J159" s="158">
        <f>J158/27</f>
        <v>6683.333333333333</v>
      </c>
      <c r="K159" s="158">
        <f>K158/25</f>
        <v>8075.6</v>
      </c>
      <c r="L159" s="158">
        <f>L158/26</f>
        <v>7935.0384615384619</v>
      </c>
      <c r="M159" s="158">
        <f>M158/26</f>
        <v>9791.9230769230762</v>
      </c>
    </row>
    <row r="160" spans="1:13" ht="14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4.5" x14ac:dyDescent="0.35">
      <c r="A161" s="159" t="s">
        <v>102</v>
      </c>
      <c r="B161" s="159" t="s">
        <v>116</v>
      </c>
      <c r="C161" s="159" t="s">
        <v>117</v>
      </c>
      <c r="D161" s="159" t="s">
        <v>118</v>
      </c>
      <c r="E161" s="159" t="s">
        <v>119</v>
      </c>
      <c r="F161" s="159" t="s">
        <v>120</v>
      </c>
      <c r="G161" s="159" t="s">
        <v>121</v>
      </c>
      <c r="H161" s="159" t="s">
        <v>122</v>
      </c>
      <c r="I161" s="159" t="s">
        <v>123</v>
      </c>
      <c r="J161" s="159" t="s">
        <v>124</v>
      </c>
      <c r="K161" s="159" t="s">
        <v>125</v>
      </c>
      <c r="L161" s="159" t="s">
        <v>126</v>
      </c>
      <c r="M161" s="159" t="s">
        <v>127</v>
      </c>
    </row>
    <row r="162" spans="1:13" ht="14.5" x14ac:dyDescent="0.35">
      <c r="A162" s="160" t="s">
        <v>99</v>
      </c>
      <c r="B162" s="160">
        <v>74979</v>
      </c>
      <c r="C162" s="160">
        <v>63950</v>
      </c>
      <c r="D162" s="160">
        <v>73973</v>
      </c>
      <c r="E162" s="160">
        <v>63776</v>
      </c>
      <c r="F162" s="160">
        <v>62209</v>
      </c>
      <c r="G162" s="160">
        <v>61961</v>
      </c>
      <c r="H162" s="160">
        <v>62927</v>
      </c>
      <c r="I162" s="160">
        <v>50792</v>
      </c>
      <c r="J162" s="160">
        <v>55786</v>
      </c>
      <c r="K162" s="160">
        <v>48081</v>
      </c>
      <c r="L162" s="160">
        <v>66142</v>
      </c>
      <c r="M162" s="160">
        <v>58127</v>
      </c>
    </row>
    <row r="163" spans="1:13" ht="14.5" x14ac:dyDescent="0.35">
      <c r="A163" s="160" t="s">
        <v>37</v>
      </c>
      <c r="B163" s="160">
        <v>48870</v>
      </c>
      <c r="C163" s="160">
        <v>44783</v>
      </c>
      <c r="D163" s="160">
        <v>58612</v>
      </c>
      <c r="E163" s="160">
        <v>59247</v>
      </c>
      <c r="F163" s="160">
        <v>49882</v>
      </c>
      <c r="G163" s="160">
        <v>42564</v>
      </c>
      <c r="H163" s="160">
        <v>44217</v>
      </c>
      <c r="I163" s="160">
        <v>42911</v>
      </c>
      <c r="J163" s="160">
        <v>40388</v>
      </c>
      <c r="K163" s="160">
        <v>32034</v>
      </c>
      <c r="L163" s="160">
        <v>38086</v>
      </c>
      <c r="M163" s="160">
        <v>42706</v>
      </c>
    </row>
    <row r="164" spans="1:13" ht="14.5" x14ac:dyDescent="0.35">
      <c r="A164" s="160" t="s">
        <v>100</v>
      </c>
      <c r="B164" s="160">
        <v>38487</v>
      </c>
      <c r="C164" s="160">
        <v>41827</v>
      </c>
      <c r="D164" s="160">
        <v>48432</v>
      </c>
      <c r="E164" s="160">
        <v>45807</v>
      </c>
      <c r="F164" s="160">
        <v>47219</v>
      </c>
      <c r="G164" s="160">
        <v>49140</v>
      </c>
      <c r="H164" s="160">
        <v>45889</v>
      </c>
      <c r="I164" s="160">
        <v>42002</v>
      </c>
      <c r="J164" s="160">
        <v>29164</v>
      </c>
      <c r="K164" s="160">
        <v>24425</v>
      </c>
      <c r="L164" s="160">
        <v>32384</v>
      </c>
      <c r="M164" s="160">
        <v>26635</v>
      </c>
    </row>
    <row r="165" spans="1:13" ht="14.5" x14ac:dyDescent="0.35">
      <c r="A165" s="160" t="s">
        <v>88</v>
      </c>
      <c r="B165" s="160">
        <v>115741.16666666666</v>
      </c>
      <c r="C165" s="160">
        <v>92550</v>
      </c>
      <c r="D165" s="160">
        <v>102728</v>
      </c>
      <c r="E165" s="160">
        <v>102029</v>
      </c>
      <c r="F165" s="160">
        <v>73495</v>
      </c>
      <c r="G165" s="160">
        <v>77358</v>
      </c>
      <c r="H165" s="160">
        <v>75185</v>
      </c>
      <c r="I165" s="160">
        <v>62889</v>
      </c>
      <c r="J165" s="160">
        <v>78647</v>
      </c>
      <c r="K165" s="160">
        <v>71233</v>
      </c>
      <c r="L165" s="160">
        <v>80881</v>
      </c>
      <c r="M165" s="160">
        <v>89693</v>
      </c>
    </row>
    <row r="166" spans="1:13" ht="14.5" x14ac:dyDescent="0.35">
      <c r="A166" s="161" t="s">
        <v>101</v>
      </c>
      <c r="B166" s="162">
        <f>SUM(B162:B165)</f>
        <v>278077.16666666663</v>
      </c>
      <c r="C166" s="162">
        <f>SUM(C162:C165)</f>
        <v>243110</v>
      </c>
      <c r="D166" s="162">
        <v>283745</v>
      </c>
      <c r="E166" s="162">
        <v>270859</v>
      </c>
      <c r="F166" s="162">
        <v>232805</v>
      </c>
      <c r="G166" s="162">
        <v>231023</v>
      </c>
      <c r="H166" s="162">
        <v>228218</v>
      </c>
      <c r="I166" s="162">
        <v>198594</v>
      </c>
      <c r="J166" s="162">
        <v>203985</v>
      </c>
      <c r="K166" s="162">
        <v>175773</v>
      </c>
      <c r="L166" s="162">
        <v>217493</v>
      </c>
      <c r="M166" s="162">
        <v>217161</v>
      </c>
    </row>
    <row r="167" spans="1:13" ht="14.5" x14ac:dyDescent="0.35">
      <c r="A167" s="163" t="s">
        <v>607</v>
      </c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4"/>
    </row>
    <row r="168" spans="1:13" ht="14.5" x14ac:dyDescent="0.35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</row>
    <row r="169" spans="1:13" ht="14.5" x14ac:dyDescent="0.35">
      <c r="A169" s="159" t="s">
        <v>102</v>
      </c>
      <c r="B169" s="159" t="s">
        <v>128</v>
      </c>
      <c r="C169" s="159" t="s">
        <v>129</v>
      </c>
      <c r="D169" s="159" t="s">
        <v>130</v>
      </c>
      <c r="E169" s="159" t="s">
        <v>131</v>
      </c>
      <c r="F169" s="159" t="s">
        <v>132</v>
      </c>
      <c r="G169" s="159" t="s">
        <v>133</v>
      </c>
      <c r="H169" s="159" t="s">
        <v>134</v>
      </c>
      <c r="I169" s="159" t="s">
        <v>135</v>
      </c>
      <c r="J169" s="166" t="s">
        <v>136</v>
      </c>
      <c r="K169" s="159" t="s">
        <v>137</v>
      </c>
      <c r="L169" s="159" t="s">
        <v>138</v>
      </c>
      <c r="M169" s="159" t="s">
        <v>139</v>
      </c>
    </row>
    <row r="170" spans="1:13" ht="14.5" x14ac:dyDescent="0.35">
      <c r="A170" s="167" t="s">
        <v>99</v>
      </c>
      <c r="B170" s="168">
        <v>52819.21</v>
      </c>
      <c r="C170" s="168">
        <v>53324</v>
      </c>
      <c r="D170" s="168">
        <v>61519</v>
      </c>
      <c r="E170" s="168">
        <v>70743</v>
      </c>
      <c r="F170" s="169">
        <v>55027</v>
      </c>
      <c r="G170" s="169">
        <v>54932</v>
      </c>
      <c r="H170" s="169">
        <v>43776</v>
      </c>
      <c r="I170" s="169">
        <v>49810</v>
      </c>
      <c r="J170" s="170">
        <v>75616</v>
      </c>
      <c r="K170" s="168">
        <v>68029</v>
      </c>
      <c r="L170" s="168">
        <v>59606</v>
      </c>
      <c r="M170" s="168">
        <v>63396</v>
      </c>
    </row>
    <row r="171" spans="1:13" ht="14.5" x14ac:dyDescent="0.35">
      <c r="A171" s="167" t="s">
        <v>37</v>
      </c>
      <c r="B171" s="168">
        <v>33459.82</v>
      </c>
      <c r="C171" s="168">
        <v>39860</v>
      </c>
      <c r="D171" s="168">
        <v>41717</v>
      </c>
      <c r="E171" s="168">
        <v>40181</v>
      </c>
      <c r="F171" s="169">
        <v>41079</v>
      </c>
      <c r="G171" s="169">
        <v>39875</v>
      </c>
      <c r="H171" s="169">
        <v>35835</v>
      </c>
      <c r="I171" s="169">
        <v>28946</v>
      </c>
      <c r="J171" s="170">
        <v>43422</v>
      </c>
      <c r="K171" s="168">
        <v>35147</v>
      </c>
      <c r="L171" s="168">
        <v>37370</v>
      </c>
      <c r="M171" s="168">
        <v>39971</v>
      </c>
    </row>
    <row r="172" spans="1:13" ht="14.5" x14ac:dyDescent="0.35">
      <c r="A172" s="167" t="s">
        <v>100</v>
      </c>
      <c r="B172" s="168">
        <v>13471.49</v>
      </c>
      <c r="C172" s="168">
        <v>12544</v>
      </c>
      <c r="D172" s="168">
        <v>13788</v>
      </c>
      <c r="E172" s="168">
        <v>17451</v>
      </c>
      <c r="F172" s="169">
        <v>20924</v>
      </c>
      <c r="G172" s="169">
        <v>23756</v>
      </c>
      <c r="H172" s="169">
        <v>18015</v>
      </c>
      <c r="I172" s="169">
        <v>15778</v>
      </c>
      <c r="J172" s="171" t="s">
        <v>140</v>
      </c>
      <c r="K172" s="159"/>
      <c r="L172" s="159"/>
      <c r="M172" s="168">
        <v>3428</v>
      </c>
    </row>
    <row r="173" spans="1:13" ht="14.5" x14ac:dyDescent="0.35">
      <c r="A173" s="167" t="s">
        <v>88</v>
      </c>
      <c r="B173" s="168">
        <v>21042</v>
      </c>
      <c r="C173" s="168">
        <v>35748</v>
      </c>
      <c r="D173" s="168">
        <v>44347</v>
      </c>
      <c r="E173" s="168">
        <v>72570</v>
      </c>
      <c r="F173" s="169">
        <v>89947</v>
      </c>
      <c r="G173" s="169">
        <v>99078</v>
      </c>
      <c r="H173" s="169">
        <v>75226</v>
      </c>
      <c r="I173" s="169">
        <v>76874</v>
      </c>
      <c r="J173" s="170">
        <v>51000</v>
      </c>
      <c r="K173" s="168">
        <v>41240</v>
      </c>
      <c r="L173" s="168">
        <v>47352</v>
      </c>
      <c r="M173" s="168">
        <v>49038</v>
      </c>
    </row>
    <row r="174" spans="1:13" ht="14.5" x14ac:dyDescent="0.35">
      <c r="A174" s="161" t="s">
        <v>101</v>
      </c>
      <c r="B174" s="172">
        <f>SUM(B170:B173)</f>
        <v>120792.52</v>
      </c>
      <c r="C174" s="172">
        <f>SUM(C170:C173)</f>
        <v>141476</v>
      </c>
      <c r="D174" s="172">
        <f>SUM(D170:D173)</f>
        <v>161371</v>
      </c>
      <c r="E174" s="172">
        <f>SUM(E170:E173)</f>
        <v>200945</v>
      </c>
      <c r="F174" s="162">
        <v>206977</v>
      </c>
      <c r="G174" s="162">
        <v>217641</v>
      </c>
      <c r="H174" s="162">
        <v>172852</v>
      </c>
      <c r="I174" s="162">
        <v>171408</v>
      </c>
      <c r="J174" s="173">
        <v>170038</v>
      </c>
      <c r="K174" s="172">
        <f>SUM(K170:K173)</f>
        <v>144416</v>
      </c>
      <c r="L174" s="172">
        <f>SUM(L170:L173)</f>
        <v>144328</v>
      </c>
      <c r="M174" s="172">
        <f>SUM(M170:M173)</f>
        <v>155833</v>
      </c>
    </row>
  </sheetData>
  <mergeCells count="13">
    <mergeCell ref="B1:F1"/>
    <mergeCell ref="B2:B3"/>
    <mergeCell ref="C2:C3"/>
    <mergeCell ref="J4:K4"/>
    <mergeCell ref="B41:B42"/>
    <mergeCell ref="C41:C42"/>
    <mergeCell ref="J41:K41"/>
    <mergeCell ref="B77:B78"/>
    <mergeCell ref="C77:C78"/>
    <mergeCell ref="J78:K78"/>
    <mergeCell ref="A114:B117"/>
    <mergeCell ref="C114:E115"/>
    <mergeCell ref="C116:C117"/>
  </mergeCells>
  <phoneticPr fontId="19" type="noConversion"/>
  <conditionalFormatting sqref="A43:E43 G43 A44:G73 A79:G79 C80:G104 A80:B109 C105:F105 C106:G106 C107:E107 G107 C108:G109">
    <cfRule type="expression" dxfId="11" priority="3">
      <formula>ISEVEN(ROW())</formula>
    </cfRule>
  </conditionalFormatting>
  <conditionalFormatting sqref="A4:G4 A5:B34">
    <cfRule type="expression" dxfId="10" priority="1">
      <formula>ISODD(ROW())</formula>
    </cfRule>
  </conditionalFormatting>
  <conditionalFormatting sqref="C5:E5">
    <cfRule type="expression" dxfId="9" priority="2">
      <formula>ISEVEN(ROW())</formula>
    </cfRule>
  </conditionalFormatting>
  <conditionalFormatting sqref="F5:G5 C6:G34 A118:F148">
    <cfRule type="expression" dxfId="8" priority="4">
      <formula>ISODD(ROW())</formula>
    </cfRule>
  </conditionalFormatting>
  <conditionalFormatting sqref="L2:L16 L18:L21 L27:L32 L34:L35 K37:K39 M41:M43 M49:M60 L55:L59 L65:L68 M65:M74 M77:M112 H114:H151">
    <cfRule type="cellIs" dxfId="7" priority="5" operator="greaterThan">
      <formula>0</formula>
    </cfRule>
    <cfRule type="cellIs" dxfId="6" priority="6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N174"/>
  <sheetViews>
    <sheetView topLeftCell="A81" workbookViewId="0">
      <selection activeCell="G4" sqref="G4:G9"/>
    </sheetView>
  </sheetViews>
  <sheetFormatPr defaultRowHeight="14.5" x14ac:dyDescent="0.35"/>
  <cols>
    <col min="1" max="1" width="18.26953125" customWidth="1"/>
    <col min="2" max="2" width="21" customWidth="1"/>
    <col min="3" max="3" width="16.453125" customWidth="1"/>
    <col min="4" max="4" width="16.1796875" customWidth="1"/>
    <col min="5" max="5" width="22.453125" customWidth="1"/>
    <col min="6" max="6" width="19.81640625" customWidth="1"/>
    <col min="7" max="7" width="16.26953125" customWidth="1"/>
    <col min="10" max="10" width="15.81640625" bestFit="1" customWidth="1"/>
    <col min="11" max="11" width="13" bestFit="1" customWidth="1"/>
    <col min="12" max="12" width="12.26953125" customWidth="1"/>
    <col min="13" max="13" width="16.1796875" customWidth="1"/>
    <col min="14" max="14" width="12.1796875" bestFit="1" customWidth="1"/>
  </cols>
  <sheetData>
    <row r="1" spans="1:13" ht="17.5" x14ac:dyDescent="0.35">
      <c r="A1" s="1"/>
      <c r="B1" s="950" t="s">
        <v>0</v>
      </c>
      <c r="C1" s="950"/>
      <c r="D1" s="950"/>
      <c r="E1" s="950"/>
      <c r="F1" s="950"/>
      <c r="G1" s="1"/>
      <c r="H1" s="1"/>
      <c r="I1" s="1"/>
      <c r="J1" s="1"/>
      <c r="K1" s="1"/>
      <c r="L1" s="1"/>
      <c r="M1" s="1"/>
    </row>
    <row r="2" spans="1:13" ht="15.5" x14ac:dyDescent="0.35">
      <c r="A2" s="2"/>
      <c r="B2" s="952" t="s">
        <v>1</v>
      </c>
      <c r="C2" s="971" t="s">
        <v>0</v>
      </c>
      <c r="D2" s="3" t="s">
        <v>1160</v>
      </c>
      <c r="E2" s="4" t="s">
        <v>3</v>
      </c>
      <c r="F2" s="5" t="s">
        <v>6</v>
      </c>
      <c r="G2" s="6" t="s">
        <v>7</v>
      </c>
      <c r="H2" s="7"/>
      <c r="I2" s="7"/>
      <c r="J2" s="7"/>
      <c r="K2" s="7"/>
      <c r="L2" s="7"/>
      <c r="M2" s="7"/>
    </row>
    <row r="3" spans="1:13" ht="30.75" customHeight="1" x14ac:dyDescent="0.35">
      <c r="A3" s="8"/>
      <c r="B3" s="953"/>
      <c r="C3" s="972"/>
      <c r="D3" s="9" t="s">
        <v>1161</v>
      </c>
      <c r="E3" s="10" t="s">
        <v>0</v>
      </c>
      <c r="F3" s="11" t="s">
        <v>1086</v>
      </c>
      <c r="G3" s="12" t="s">
        <v>9</v>
      </c>
      <c r="H3" s="1"/>
      <c r="I3" s="1"/>
      <c r="J3" s="1"/>
      <c r="K3" s="1"/>
      <c r="L3" s="1"/>
      <c r="M3" s="1"/>
    </row>
    <row r="4" spans="1:13" x14ac:dyDescent="0.35">
      <c r="A4" s="13" t="s">
        <v>20</v>
      </c>
      <c r="B4" s="14">
        <v>45383</v>
      </c>
      <c r="C4" s="15">
        <v>3072</v>
      </c>
      <c r="D4" s="16">
        <v>181</v>
      </c>
      <c r="E4" s="17">
        <v>0</v>
      </c>
      <c r="F4" s="18" t="s">
        <v>1162</v>
      </c>
      <c r="G4" s="19">
        <v>19</v>
      </c>
      <c r="H4" s="1"/>
      <c r="I4" s="1"/>
      <c r="J4" s="951" t="s">
        <v>12</v>
      </c>
      <c r="K4" s="951"/>
      <c r="L4" s="1"/>
      <c r="M4" s="1"/>
    </row>
    <row r="5" spans="1:13" x14ac:dyDescent="0.35">
      <c r="A5" s="13" t="s">
        <v>22</v>
      </c>
      <c r="B5" s="14">
        <v>45384</v>
      </c>
      <c r="C5" s="177">
        <v>1571</v>
      </c>
      <c r="D5" s="178">
        <v>199</v>
      </c>
      <c r="E5" s="179">
        <v>0</v>
      </c>
      <c r="F5" s="22" t="s">
        <v>1162</v>
      </c>
      <c r="G5" s="23">
        <v>5</v>
      </c>
      <c r="H5" s="1"/>
      <c r="I5" s="1"/>
      <c r="J5" s="24" t="s">
        <v>15</v>
      </c>
      <c r="K5" s="25">
        <v>68000</v>
      </c>
      <c r="L5" s="1"/>
      <c r="M5" s="1"/>
    </row>
    <row r="6" spans="1:13" x14ac:dyDescent="0.35">
      <c r="A6" s="13" t="s">
        <v>24</v>
      </c>
      <c r="B6" s="14">
        <v>45385</v>
      </c>
      <c r="C6" s="26">
        <v>4875</v>
      </c>
      <c r="D6" s="27">
        <v>105</v>
      </c>
      <c r="E6" s="28">
        <v>1</v>
      </c>
      <c r="F6" s="28" t="s">
        <v>1163</v>
      </c>
      <c r="G6" s="29">
        <v>17</v>
      </c>
      <c r="H6" s="1"/>
      <c r="I6" s="1"/>
      <c r="J6" s="30" t="s">
        <v>1164</v>
      </c>
      <c r="K6" s="31">
        <v>4246</v>
      </c>
      <c r="L6" s="1"/>
      <c r="M6" s="1"/>
    </row>
    <row r="7" spans="1:13" x14ac:dyDescent="0.35">
      <c r="A7" s="13" t="s">
        <v>10</v>
      </c>
      <c r="B7" s="14">
        <v>45386</v>
      </c>
      <c r="C7" s="32">
        <v>5396</v>
      </c>
      <c r="D7" s="33">
        <v>80</v>
      </c>
      <c r="E7" s="34">
        <v>0</v>
      </c>
      <c r="F7" s="34" t="s">
        <v>1165</v>
      </c>
      <c r="G7" s="29">
        <v>14</v>
      </c>
      <c r="H7" s="1"/>
      <c r="I7" s="1"/>
      <c r="J7" s="35" t="s">
        <v>3</v>
      </c>
      <c r="K7" s="36">
        <v>35</v>
      </c>
      <c r="L7" s="1"/>
      <c r="M7" s="1"/>
    </row>
    <row r="8" spans="1:13" x14ac:dyDescent="0.35">
      <c r="A8" s="13" t="s">
        <v>13</v>
      </c>
      <c r="B8" s="14">
        <v>45387</v>
      </c>
      <c r="C8" s="26">
        <v>2908</v>
      </c>
      <c r="D8" s="27">
        <v>407</v>
      </c>
      <c r="E8" s="28">
        <v>2</v>
      </c>
      <c r="F8" s="28" t="s">
        <v>1166</v>
      </c>
      <c r="G8" s="29">
        <v>12</v>
      </c>
      <c r="H8" s="1"/>
      <c r="I8" s="1"/>
      <c r="J8" s="1"/>
      <c r="K8" s="1"/>
      <c r="L8" s="1"/>
      <c r="M8" s="1"/>
    </row>
    <row r="9" spans="1:13" x14ac:dyDescent="0.35">
      <c r="A9" s="13" t="s">
        <v>16</v>
      </c>
      <c r="B9" s="14">
        <v>45388</v>
      </c>
      <c r="C9" s="20">
        <v>4077</v>
      </c>
      <c r="D9" s="21">
        <v>264</v>
      </c>
      <c r="E9" s="22">
        <v>2</v>
      </c>
      <c r="F9" s="28" t="s">
        <v>1167</v>
      </c>
      <c r="G9" s="23">
        <v>16</v>
      </c>
      <c r="H9" s="1"/>
      <c r="I9" s="1"/>
      <c r="J9" s="1"/>
      <c r="K9" s="1"/>
      <c r="L9" s="1"/>
      <c r="M9" s="1"/>
    </row>
    <row r="10" spans="1:13" x14ac:dyDescent="0.35">
      <c r="A10" s="13" t="s">
        <v>18</v>
      </c>
      <c r="B10" s="14">
        <v>45389</v>
      </c>
      <c r="C10" s="37"/>
      <c r="D10" s="16"/>
      <c r="E10" s="38"/>
      <c r="F10" s="38"/>
      <c r="G10" s="39"/>
      <c r="H10" s="1"/>
      <c r="I10" s="1"/>
      <c r="J10" s="1"/>
      <c r="K10" s="1"/>
      <c r="L10" s="1"/>
      <c r="M10" s="1"/>
    </row>
    <row r="11" spans="1:13" x14ac:dyDescent="0.35">
      <c r="A11" s="13" t="s">
        <v>20</v>
      </c>
      <c r="B11" s="14">
        <v>45390</v>
      </c>
      <c r="C11" s="40">
        <v>2796</v>
      </c>
      <c r="D11" s="41">
        <v>177</v>
      </c>
      <c r="E11" s="42">
        <v>0</v>
      </c>
      <c r="F11" s="42" t="s">
        <v>1168</v>
      </c>
      <c r="G11" s="43">
        <v>15</v>
      </c>
      <c r="H11" s="1"/>
      <c r="I11" s="1"/>
      <c r="J11" s="1"/>
      <c r="K11" s="1"/>
      <c r="L11" s="1"/>
      <c r="M11" s="1"/>
    </row>
    <row r="12" spans="1:13" x14ac:dyDescent="0.35">
      <c r="A12" s="13" t="s">
        <v>22</v>
      </c>
      <c r="B12" s="14">
        <v>45391</v>
      </c>
      <c r="C12" s="44">
        <v>2582</v>
      </c>
      <c r="D12" s="45">
        <v>25</v>
      </c>
      <c r="E12" s="46">
        <v>1</v>
      </c>
      <c r="F12" s="46" t="s">
        <v>1169</v>
      </c>
      <c r="G12" s="47">
        <v>20</v>
      </c>
      <c r="H12" s="1"/>
      <c r="I12" s="1"/>
      <c r="J12" s="1"/>
      <c r="K12" s="1"/>
      <c r="L12" s="1"/>
      <c r="M12" s="1"/>
    </row>
    <row r="13" spans="1:13" x14ac:dyDescent="0.35">
      <c r="A13" s="13" t="s">
        <v>24</v>
      </c>
      <c r="B13" s="14">
        <v>45392</v>
      </c>
      <c r="C13" s="48">
        <v>2416</v>
      </c>
      <c r="D13" s="49">
        <v>104</v>
      </c>
      <c r="E13" s="50">
        <v>1</v>
      </c>
      <c r="F13" s="50" t="s">
        <v>1170</v>
      </c>
      <c r="G13" s="51">
        <v>10</v>
      </c>
      <c r="H13" s="1"/>
      <c r="I13" s="1"/>
      <c r="J13" s="1"/>
      <c r="K13" s="1"/>
      <c r="L13" s="1"/>
      <c r="M13" s="1"/>
    </row>
    <row r="14" spans="1:13" x14ac:dyDescent="0.35">
      <c r="A14" s="13" t="s">
        <v>10</v>
      </c>
      <c r="B14" s="14">
        <v>45393</v>
      </c>
      <c r="C14" s="52">
        <v>1462</v>
      </c>
      <c r="D14" s="53">
        <v>178</v>
      </c>
      <c r="E14" s="54">
        <v>2</v>
      </c>
      <c r="F14" s="54" t="s">
        <v>1171</v>
      </c>
      <c r="G14" s="55">
        <v>13</v>
      </c>
      <c r="H14" s="1"/>
      <c r="I14" s="1"/>
      <c r="J14" s="1"/>
      <c r="K14" s="1"/>
      <c r="L14" s="1"/>
      <c r="M14" s="1"/>
    </row>
    <row r="15" spans="1:13" x14ac:dyDescent="0.35">
      <c r="A15" s="13" t="s">
        <v>13</v>
      </c>
      <c r="B15" s="14">
        <v>45394</v>
      </c>
      <c r="C15" s="48">
        <v>3504</v>
      </c>
      <c r="D15" s="49">
        <v>252</v>
      </c>
      <c r="E15" s="50">
        <v>2</v>
      </c>
      <c r="F15" s="50" t="s">
        <v>1172</v>
      </c>
      <c r="G15" s="51">
        <v>44</v>
      </c>
      <c r="H15" s="1"/>
      <c r="I15" s="1"/>
      <c r="J15" s="1"/>
      <c r="K15" s="1"/>
      <c r="L15" s="1"/>
      <c r="M15" s="1"/>
    </row>
    <row r="16" spans="1:13" x14ac:dyDescent="0.35">
      <c r="A16" s="13" t="s">
        <v>16</v>
      </c>
      <c r="B16" s="14">
        <v>45395</v>
      </c>
      <c r="C16" s="56">
        <v>2086</v>
      </c>
      <c r="D16" s="57">
        <v>120</v>
      </c>
      <c r="E16" s="58">
        <v>0</v>
      </c>
      <c r="F16" s="58" t="s">
        <v>1173</v>
      </c>
      <c r="G16" s="59">
        <v>16</v>
      </c>
      <c r="H16" s="1"/>
      <c r="I16" s="1"/>
      <c r="J16" s="1"/>
      <c r="K16" s="1"/>
      <c r="L16" s="1"/>
      <c r="M16" s="1"/>
    </row>
    <row r="17" spans="1:13" x14ac:dyDescent="0.35">
      <c r="A17" s="13" t="s">
        <v>18</v>
      </c>
      <c r="B17" s="14">
        <v>45396</v>
      </c>
      <c r="C17" s="48"/>
      <c r="D17" s="49"/>
      <c r="E17" s="50"/>
      <c r="F17" s="50"/>
      <c r="G17" s="51"/>
      <c r="H17" s="60"/>
      <c r="I17" s="1"/>
      <c r="J17" s="1"/>
      <c r="K17" s="1"/>
      <c r="L17" s="1"/>
      <c r="M17" s="1"/>
    </row>
    <row r="18" spans="1:13" x14ac:dyDescent="0.35">
      <c r="A18" s="13" t="s">
        <v>20</v>
      </c>
      <c r="B18" s="14">
        <v>45397</v>
      </c>
      <c r="C18" s="56">
        <v>2545</v>
      </c>
      <c r="D18" s="16">
        <v>295</v>
      </c>
      <c r="E18" s="38">
        <v>2</v>
      </c>
      <c r="F18" s="38" t="s">
        <v>1174</v>
      </c>
      <c r="G18" s="39">
        <v>15</v>
      </c>
      <c r="H18" s="1"/>
      <c r="I18" s="1"/>
      <c r="J18" s="1"/>
      <c r="K18" s="1"/>
      <c r="L18" s="1"/>
      <c r="M18" s="1"/>
    </row>
    <row r="19" spans="1:13" x14ac:dyDescent="0.35">
      <c r="A19" s="13" t="s">
        <v>22</v>
      </c>
      <c r="B19" s="14">
        <v>45398</v>
      </c>
      <c r="C19" s="32">
        <v>3147</v>
      </c>
      <c r="D19" s="21">
        <v>159</v>
      </c>
      <c r="E19" s="22">
        <v>1</v>
      </c>
      <c r="F19" s="22" t="s">
        <v>1175</v>
      </c>
      <c r="G19" s="23">
        <v>9</v>
      </c>
      <c r="H19" s="61"/>
      <c r="I19" s="1"/>
      <c r="J19" s="1"/>
      <c r="K19" s="1"/>
      <c r="L19" s="1"/>
      <c r="M19" s="1"/>
    </row>
    <row r="20" spans="1:13" x14ac:dyDescent="0.35">
      <c r="A20" s="13" t="s">
        <v>24</v>
      </c>
      <c r="B20" s="14">
        <v>45399</v>
      </c>
      <c r="C20" s="56">
        <v>2279</v>
      </c>
      <c r="D20" s="57">
        <v>135</v>
      </c>
      <c r="E20" s="38">
        <v>0</v>
      </c>
      <c r="F20" s="58" t="s">
        <v>1176</v>
      </c>
      <c r="G20" s="39">
        <v>19</v>
      </c>
      <c r="H20" s="1"/>
      <c r="I20" s="1"/>
      <c r="J20" s="1"/>
      <c r="K20" s="1"/>
      <c r="L20" s="1"/>
      <c r="M20" s="1"/>
    </row>
    <row r="21" spans="1:13" x14ac:dyDescent="0.35">
      <c r="A21" s="13" t="s">
        <v>10</v>
      </c>
      <c r="B21" s="14">
        <v>45400</v>
      </c>
      <c r="C21" s="62">
        <v>2342</v>
      </c>
      <c r="D21" s="63">
        <v>318</v>
      </c>
      <c r="E21" s="64">
        <v>0</v>
      </c>
      <c r="F21" s="64" t="s">
        <v>1177</v>
      </c>
      <c r="G21" s="65">
        <v>14</v>
      </c>
      <c r="H21" s="66"/>
      <c r="I21" s="1"/>
      <c r="J21" s="1"/>
      <c r="K21" s="1"/>
      <c r="L21" s="1"/>
      <c r="M21" s="1"/>
    </row>
    <row r="22" spans="1:13" x14ac:dyDescent="0.35">
      <c r="A22" s="13" t="s">
        <v>13</v>
      </c>
      <c r="B22" s="14">
        <v>45401</v>
      </c>
      <c r="C22" s="37">
        <v>2540</v>
      </c>
      <c r="D22" s="16">
        <v>80</v>
      </c>
      <c r="E22" s="38">
        <v>0</v>
      </c>
      <c r="F22" s="38" t="s">
        <v>1178</v>
      </c>
      <c r="G22" s="39">
        <v>9</v>
      </c>
      <c r="H22" s="67"/>
      <c r="I22" s="1"/>
      <c r="J22" s="1"/>
      <c r="K22" s="1"/>
      <c r="L22" s="1"/>
      <c r="M22" s="1"/>
    </row>
    <row r="23" spans="1:13" x14ac:dyDescent="0.35">
      <c r="A23" s="13" t="s">
        <v>16</v>
      </c>
      <c r="B23" s="14">
        <v>45402</v>
      </c>
      <c r="C23" s="62">
        <v>2705</v>
      </c>
      <c r="D23" s="63">
        <v>489</v>
      </c>
      <c r="E23" s="64">
        <v>0</v>
      </c>
      <c r="F23" s="38" t="s">
        <v>1179</v>
      </c>
      <c r="G23" s="65">
        <v>15</v>
      </c>
      <c r="H23" s="66"/>
      <c r="I23" s="1"/>
      <c r="J23" s="1"/>
      <c r="K23" s="1"/>
      <c r="L23" s="1"/>
      <c r="M23" s="1"/>
    </row>
    <row r="24" spans="1:13" x14ac:dyDescent="0.35">
      <c r="A24" s="13" t="s">
        <v>18</v>
      </c>
      <c r="B24" s="14">
        <v>45403</v>
      </c>
      <c r="C24" s="26"/>
      <c r="D24" s="27"/>
      <c r="E24" s="28"/>
      <c r="F24" s="28"/>
      <c r="G24" s="29"/>
      <c r="H24" s="66"/>
      <c r="I24" s="1"/>
      <c r="J24" s="1"/>
      <c r="K24" s="1"/>
      <c r="L24" s="1"/>
      <c r="M24" s="1"/>
    </row>
    <row r="25" spans="1:13" x14ac:dyDescent="0.35">
      <c r="A25" s="13" t="s">
        <v>20</v>
      </c>
      <c r="B25" s="14">
        <v>45404</v>
      </c>
      <c r="C25" s="32">
        <v>4574</v>
      </c>
      <c r="D25" s="33">
        <v>159</v>
      </c>
      <c r="E25" s="34">
        <v>0</v>
      </c>
      <c r="F25" s="34" t="s">
        <v>1180</v>
      </c>
      <c r="G25" s="68">
        <v>19</v>
      </c>
      <c r="H25" s="1"/>
      <c r="I25" s="1"/>
      <c r="J25" s="1"/>
      <c r="K25" s="1"/>
      <c r="L25" s="1"/>
      <c r="M25" s="1"/>
    </row>
    <row r="26" spans="1:13" x14ac:dyDescent="0.35">
      <c r="A26" s="13" t="s">
        <v>22</v>
      </c>
      <c r="B26" s="14">
        <v>45405</v>
      </c>
      <c r="C26" s="56">
        <v>3677</v>
      </c>
      <c r="D26" s="57">
        <v>393</v>
      </c>
      <c r="E26" s="58">
        <v>1</v>
      </c>
      <c r="F26" s="58" t="s">
        <v>1181</v>
      </c>
      <c r="G26" s="59">
        <v>14</v>
      </c>
      <c r="H26" s="1"/>
      <c r="I26" s="1"/>
      <c r="J26" s="1"/>
      <c r="K26" s="1"/>
      <c r="L26" s="1"/>
      <c r="M26" s="1"/>
    </row>
    <row r="27" spans="1:13" x14ac:dyDescent="0.35">
      <c r="A27" s="13" t="s">
        <v>24</v>
      </c>
      <c r="B27" s="14">
        <v>45406</v>
      </c>
      <c r="C27" s="62">
        <v>2071</v>
      </c>
      <c r="D27" s="63">
        <v>288</v>
      </c>
      <c r="E27" s="64">
        <v>0</v>
      </c>
      <c r="F27" s="64" t="s">
        <v>1182</v>
      </c>
      <c r="G27" s="65">
        <v>15</v>
      </c>
      <c r="H27" s="66"/>
      <c r="I27" s="1"/>
      <c r="J27" s="1"/>
      <c r="K27" s="1"/>
      <c r="L27" s="1"/>
      <c r="M27" s="1"/>
    </row>
    <row r="28" spans="1:13" x14ac:dyDescent="0.35">
      <c r="A28" s="13" t="s">
        <v>10</v>
      </c>
      <c r="B28" s="14">
        <v>45407</v>
      </c>
      <c r="C28" s="56">
        <v>3353</v>
      </c>
      <c r="D28" s="57">
        <v>138</v>
      </c>
      <c r="E28" s="58">
        <v>5</v>
      </c>
      <c r="F28" s="58" t="s">
        <v>1182</v>
      </c>
      <c r="G28" s="59">
        <v>9</v>
      </c>
      <c r="H28" s="1"/>
      <c r="I28" s="1"/>
      <c r="J28" s="1"/>
      <c r="K28" s="1"/>
      <c r="L28" s="1"/>
      <c r="M28" s="1"/>
    </row>
    <row r="29" spans="1:13" x14ac:dyDescent="0.35">
      <c r="A29" s="13" t="s">
        <v>13</v>
      </c>
      <c r="B29" s="14">
        <v>45408</v>
      </c>
      <c r="C29" s="32">
        <v>1818</v>
      </c>
      <c r="D29" s="33">
        <v>443</v>
      </c>
      <c r="E29" s="34">
        <v>0</v>
      </c>
      <c r="F29" s="34" t="s">
        <v>1183</v>
      </c>
      <c r="G29" s="68">
        <v>12</v>
      </c>
      <c r="H29" s="1"/>
      <c r="I29" s="1"/>
      <c r="J29" s="1"/>
      <c r="K29" s="1"/>
      <c r="L29" s="1"/>
      <c r="M29" s="1"/>
    </row>
    <row r="30" spans="1:13" x14ac:dyDescent="0.35">
      <c r="A30" s="13" t="s">
        <v>16</v>
      </c>
      <c r="B30" s="14">
        <v>45409</v>
      </c>
      <c r="C30" s="37">
        <v>3109</v>
      </c>
      <c r="D30" s="16">
        <v>325</v>
      </c>
      <c r="E30" s="69">
        <v>5</v>
      </c>
      <c r="F30" s="70" t="s">
        <v>1184</v>
      </c>
      <c r="G30" s="71">
        <v>14</v>
      </c>
      <c r="H30" s="67"/>
      <c r="I30" s="1"/>
      <c r="J30" s="1"/>
      <c r="K30" s="72"/>
      <c r="L30" s="1"/>
      <c r="M30" s="1"/>
    </row>
    <row r="31" spans="1:13" x14ac:dyDescent="0.35">
      <c r="A31" s="13" t="s">
        <v>18</v>
      </c>
      <c r="B31" s="14">
        <v>45410</v>
      </c>
      <c r="C31" s="37"/>
      <c r="D31" s="37"/>
      <c r="E31" s="67"/>
      <c r="F31" s="70"/>
      <c r="G31" s="74"/>
      <c r="H31" s="67"/>
      <c r="I31" s="1"/>
      <c r="J31" s="1"/>
      <c r="K31" s="72"/>
      <c r="L31" s="1"/>
      <c r="M31" s="1"/>
    </row>
    <row r="32" spans="1:13" x14ac:dyDescent="0.35">
      <c r="A32" s="13" t="s">
        <v>20</v>
      </c>
      <c r="B32" s="14">
        <v>45411</v>
      </c>
      <c r="C32" s="37">
        <v>3150</v>
      </c>
      <c r="D32" s="37">
        <v>225</v>
      </c>
      <c r="E32" s="67">
        <v>3</v>
      </c>
      <c r="F32" s="73" t="s">
        <v>1185</v>
      </c>
      <c r="G32" s="74">
        <v>14</v>
      </c>
      <c r="H32" s="67"/>
      <c r="I32" s="1"/>
      <c r="J32" s="1"/>
      <c r="K32" s="72"/>
      <c r="L32" s="1"/>
      <c r="M32" s="1"/>
    </row>
    <row r="33" spans="1:13" x14ac:dyDescent="0.35">
      <c r="A33" s="13" t="s">
        <v>22</v>
      </c>
      <c r="B33" s="14">
        <v>45412</v>
      </c>
      <c r="C33" s="75">
        <v>1319</v>
      </c>
      <c r="D33" s="75">
        <v>129</v>
      </c>
      <c r="E33" s="70">
        <v>2</v>
      </c>
      <c r="F33" s="70" t="s">
        <v>1186</v>
      </c>
      <c r="G33" s="180">
        <v>15</v>
      </c>
      <c r="H33" s="1"/>
      <c r="I33" s="1"/>
      <c r="J33" s="1"/>
      <c r="K33" s="1"/>
      <c r="L33" s="1"/>
      <c r="M33" s="1"/>
    </row>
    <row r="34" spans="1:13" x14ac:dyDescent="0.35">
      <c r="A34" s="13"/>
      <c r="B34" s="14"/>
      <c r="C34" s="76"/>
      <c r="D34" s="76"/>
      <c r="E34" s="18"/>
      <c r="F34" s="18" t="s">
        <v>1087</v>
      </c>
      <c r="G34" s="77"/>
      <c r="H34" s="67"/>
      <c r="I34" s="1"/>
      <c r="J34" s="1"/>
      <c r="K34" s="72"/>
      <c r="L34" s="1"/>
      <c r="M34" s="1"/>
    </row>
    <row r="35" spans="1:13" x14ac:dyDescent="0.35">
      <c r="A35" s="78"/>
      <c r="B35" s="78"/>
      <c r="C35" s="79">
        <f>SUM(C4:C34)</f>
        <v>75374</v>
      </c>
      <c r="D35" s="80">
        <f>SUM(D4:D34)</f>
        <v>5668</v>
      </c>
      <c r="E35" s="81">
        <f>SUM(E4:E34)</f>
        <v>30</v>
      </c>
      <c r="F35" s="82"/>
      <c r="G35" s="82">
        <f>SUM(G4:G34)</f>
        <v>394</v>
      </c>
      <c r="H35" s="83"/>
      <c r="I35" s="1"/>
      <c r="J35" s="1"/>
      <c r="K35" s="1"/>
      <c r="L35" s="1"/>
      <c r="M35" s="1"/>
    </row>
    <row r="36" spans="1:13" x14ac:dyDescent="0.35">
      <c r="A36" s="1"/>
      <c r="B36" s="84"/>
      <c r="C36" s="85"/>
      <c r="D36" s="86"/>
      <c r="E36" s="87"/>
      <c r="F36" s="78"/>
      <c r="G36" s="1"/>
      <c r="H36" s="1"/>
      <c r="I36" s="1"/>
      <c r="J36" s="1"/>
      <c r="K36" s="1"/>
      <c r="L36" s="1"/>
      <c r="M36" s="1"/>
    </row>
    <row r="37" spans="1:13" x14ac:dyDescent="0.35">
      <c r="A37" s="1"/>
      <c r="B37" s="84"/>
      <c r="C37" s="72"/>
      <c r="D37" s="72"/>
      <c r="E37" s="87"/>
      <c r="F37" s="88"/>
      <c r="G37" s="1"/>
      <c r="H37" s="1"/>
      <c r="I37" s="1"/>
      <c r="J37" s="1"/>
      <c r="K37" s="1"/>
      <c r="L37" s="1"/>
      <c r="M37" s="1"/>
    </row>
    <row r="38" spans="1:13" x14ac:dyDescent="0.35">
      <c r="A38" s="1"/>
      <c r="B38" s="84"/>
      <c r="C38" s="87"/>
      <c r="D38" s="72"/>
      <c r="E38" s="87"/>
      <c r="F38" s="88"/>
      <c r="G38" s="1"/>
      <c r="H38" s="1"/>
      <c r="I38" s="1"/>
      <c r="J38" s="1"/>
      <c r="K38" s="1"/>
      <c r="L38" s="1"/>
      <c r="M38" s="1"/>
    </row>
    <row r="39" spans="1:13" x14ac:dyDescent="0.35">
      <c r="A39" s="1"/>
      <c r="B39" s="84"/>
      <c r="C39" s="72"/>
      <c r="D39" s="72"/>
      <c r="E39" s="72"/>
      <c r="F39" s="1"/>
      <c r="G39" s="1"/>
      <c r="H39" s="1"/>
      <c r="I39" s="1"/>
      <c r="J39" s="1"/>
      <c r="K39" s="1"/>
      <c r="L39" s="1"/>
      <c r="M39" s="1"/>
    </row>
    <row r="40" spans="1:13" ht="17.5" x14ac:dyDescent="0.35">
      <c r="A40" s="1"/>
      <c r="B40" s="84"/>
      <c r="C40" s="72"/>
      <c r="D40" s="89"/>
      <c r="E40" s="72"/>
      <c r="F40" s="1"/>
      <c r="G40" s="1"/>
      <c r="H40" s="1"/>
      <c r="I40" s="1"/>
      <c r="J40" s="1"/>
      <c r="K40" s="1"/>
      <c r="L40" s="1"/>
      <c r="M40" s="1"/>
    </row>
    <row r="41" spans="1:13" ht="15.5" x14ac:dyDescent="0.35">
      <c r="A41" s="2"/>
      <c r="B41" s="973" t="s">
        <v>37</v>
      </c>
      <c r="C41" s="954" t="s">
        <v>0</v>
      </c>
      <c r="D41" s="3" t="s">
        <v>1160</v>
      </c>
      <c r="E41" s="90" t="s">
        <v>3</v>
      </c>
      <c r="F41" s="5" t="s">
        <v>6</v>
      </c>
      <c r="G41" s="91" t="s">
        <v>7</v>
      </c>
      <c r="H41" s="7"/>
      <c r="I41" s="7"/>
      <c r="J41" s="951" t="s">
        <v>12</v>
      </c>
      <c r="K41" s="951"/>
      <c r="L41" s="7"/>
      <c r="M41" s="7"/>
    </row>
    <row r="42" spans="1:13" ht="29.25" customHeight="1" x14ac:dyDescent="0.35">
      <c r="A42" s="8"/>
      <c r="B42" s="974"/>
      <c r="C42" s="955"/>
      <c r="D42" s="9" t="s">
        <v>1161</v>
      </c>
      <c r="E42" s="92" t="s">
        <v>0</v>
      </c>
      <c r="F42" s="11" t="s">
        <v>1086</v>
      </c>
      <c r="G42" s="93" t="s">
        <v>9</v>
      </c>
      <c r="H42" s="1"/>
      <c r="I42" s="1"/>
      <c r="J42" s="94" t="s">
        <v>15</v>
      </c>
      <c r="K42" s="95">
        <v>45000</v>
      </c>
      <c r="L42" s="1"/>
      <c r="M42" s="1"/>
    </row>
    <row r="43" spans="1:13" x14ac:dyDescent="0.35">
      <c r="A43" s="13" t="s">
        <v>20</v>
      </c>
      <c r="B43" s="14">
        <v>45383</v>
      </c>
      <c r="C43" s="15">
        <v>1182</v>
      </c>
      <c r="D43" s="16">
        <v>25</v>
      </c>
      <c r="E43" s="17">
        <v>1</v>
      </c>
      <c r="F43" s="1" t="s">
        <v>1187</v>
      </c>
      <c r="G43" s="19">
        <v>13</v>
      </c>
      <c r="H43" s="1"/>
      <c r="I43" s="1"/>
      <c r="J43" s="96" t="s">
        <v>1164</v>
      </c>
      <c r="K43" s="97">
        <v>3578</v>
      </c>
      <c r="L43" s="1"/>
      <c r="M43" s="1"/>
    </row>
    <row r="44" spans="1:13" x14ac:dyDescent="0.35">
      <c r="A44" s="13" t="s">
        <v>22</v>
      </c>
      <c r="B44" s="14">
        <v>45384</v>
      </c>
      <c r="C44" s="20">
        <v>1457</v>
      </c>
      <c r="D44" s="21">
        <v>247</v>
      </c>
      <c r="E44" s="22">
        <v>0</v>
      </c>
      <c r="F44" s="22" t="s">
        <v>171</v>
      </c>
      <c r="G44" s="23">
        <v>11</v>
      </c>
      <c r="H44" s="1"/>
      <c r="I44" s="1"/>
      <c r="J44" s="98" t="s">
        <v>3</v>
      </c>
      <c r="K44" s="99">
        <v>25</v>
      </c>
      <c r="L44" s="1"/>
      <c r="M44" s="1"/>
    </row>
    <row r="45" spans="1:13" x14ac:dyDescent="0.35">
      <c r="A45" s="13" t="s">
        <v>24</v>
      </c>
      <c r="B45" s="14">
        <v>45385</v>
      </c>
      <c r="C45" s="26">
        <v>2540</v>
      </c>
      <c r="D45" s="27">
        <v>80</v>
      </c>
      <c r="E45" s="28">
        <v>0</v>
      </c>
      <c r="F45" s="28" t="s">
        <v>1188</v>
      </c>
      <c r="G45" s="29">
        <v>12</v>
      </c>
      <c r="H45" s="1"/>
      <c r="I45" s="100"/>
      <c r="J45" s="1"/>
      <c r="K45" s="84"/>
      <c r="L45" s="1"/>
      <c r="M45" s="1"/>
    </row>
    <row r="46" spans="1:13" x14ac:dyDescent="0.35">
      <c r="A46" s="13" t="s">
        <v>10</v>
      </c>
      <c r="B46" s="14">
        <v>45386</v>
      </c>
      <c r="C46" s="32">
        <v>1473</v>
      </c>
      <c r="D46" s="33">
        <v>75</v>
      </c>
      <c r="E46" s="34">
        <v>0</v>
      </c>
      <c r="F46" s="34" t="s">
        <v>1189</v>
      </c>
      <c r="G46" s="68">
        <v>11</v>
      </c>
      <c r="H46" s="1"/>
      <c r="I46" s="1"/>
      <c r="J46" s="1"/>
      <c r="K46" s="84"/>
      <c r="L46" s="1"/>
      <c r="M46" s="1"/>
    </row>
    <row r="47" spans="1:13" x14ac:dyDescent="0.35">
      <c r="A47" s="13" t="s">
        <v>13</v>
      </c>
      <c r="B47" s="14">
        <v>45387</v>
      </c>
      <c r="C47" s="26">
        <v>895</v>
      </c>
      <c r="D47" s="27">
        <v>95</v>
      </c>
      <c r="E47" s="28">
        <v>0</v>
      </c>
      <c r="F47" s="28" t="s">
        <v>1190</v>
      </c>
      <c r="G47" s="29">
        <v>5</v>
      </c>
      <c r="H47" s="1"/>
      <c r="I47" s="1"/>
      <c r="J47" s="1"/>
      <c r="K47" s="84"/>
      <c r="L47" s="1"/>
      <c r="M47" s="1"/>
    </row>
    <row r="48" spans="1:13" x14ac:dyDescent="0.35">
      <c r="A48" s="13" t="s">
        <v>16</v>
      </c>
      <c r="B48" s="14">
        <v>45388</v>
      </c>
      <c r="C48" s="20">
        <v>3229</v>
      </c>
      <c r="D48" s="21">
        <v>678</v>
      </c>
      <c r="E48" s="22">
        <v>4</v>
      </c>
      <c r="F48" s="28" t="s">
        <v>1191</v>
      </c>
      <c r="G48" s="23">
        <v>9</v>
      </c>
      <c r="H48" s="1"/>
      <c r="I48" s="1"/>
      <c r="J48" s="1"/>
      <c r="K48" s="84"/>
      <c r="L48" s="1"/>
      <c r="M48" s="1"/>
    </row>
    <row r="49" spans="1:13" x14ac:dyDescent="0.35">
      <c r="A49" s="13" t="s">
        <v>18</v>
      </c>
      <c r="B49" s="14">
        <v>45389</v>
      </c>
      <c r="C49" s="37"/>
      <c r="D49" s="16"/>
      <c r="E49" s="38"/>
      <c r="F49" s="38"/>
      <c r="G49" s="39"/>
      <c r="H49" s="1"/>
      <c r="I49" s="1"/>
      <c r="J49" s="1"/>
      <c r="K49" s="1"/>
      <c r="L49" s="1"/>
      <c r="M49" s="1"/>
    </row>
    <row r="50" spans="1:13" x14ac:dyDescent="0.35">
      <c r="A50" s="13" t="s">
        <v>20</v>
      </c>
      <c r="B50" s="14">
        <v>45390</v>
      </c>
      <c r="C50" s="40">
        <v>1458</v>
      </c>
      <c r="D50" s="41">
        <v>110</v>
      </c>
      <c r="E50" s="42">
        <v>0</v>
      </c>
      <c r="F50" s="42" t="s">
        <v>693</v>
      </c>
      <c r="G50" s="43">
        <v>9</v>
      </c>
      <c r="H50" s="1"/>
      <c r="I50" s="1"/>
      <c r="J50" s="1"/>
      <c r="K50" s="1"/>
      <c r="L50" s="1"/>
      <c r="M50" s="1"/>
    </row>
    <row r="51" spans="1:13" x14ac:dyDescent="0.35">
      <c r="A51" s="13" t="s">
        <v>22</v>
      </c>
      <c r="B51" s="14">
        <v>45391</v>
      </c>
      <c r="C51" s="44">
        <v>2412</v>
      </c>
      <c r="D51" s="45">
        <v>390</v>
      </c>
      <c r="E51" s="46">
        <v>1</v>
      </c>
      <c r="F51" s="46" t="s">
        <v>1192</v>
      </c>
      <c r="G51" s="47">
        <v>10</v>
      </c>
      <c r="H51" s="1"/>
      <c r="I51" s="1"/>
      <c r="J51" s="1"/>
      <c r="K51" s="1"/>
      <c r="L51" s="1"/>
      <c r="M51" s="1"/>
    </row>
    <row r="52" spans="1:13" x14ac:dyDescent="0.35">
      <c r="A52" s="13" t="s">
        <v>24</v>
      </c>
      <c r="B52" s="14">
        <v>45392</v>
      </c>
      <c r="C52" s="48">
        <v>962</v>
      </c>
      <c r="D52" s="49">
        <v>145</v>
      </c>
      <c r="E52" s="50">
        <v>0</v>
      </c>
      <c r="F52" s="50" t="s">
        <v>1193</v>
      </c>
      <c r="G52" s="51">
        <v>9</v>
      </c>
      <c r="H52" s="1"/>
      <c r="I52" s="1"/>
      <c r="J52" s="1"/>
      <c r="K52" s="1"/>
      <c r="L52" s="1"/>
      <c r="M52" s="1"/>
    </row>
    <row r="53" spans="1:13" x14ac:dyDescent="0.35">
      <c r="A53" s="13" t="s">
        <v>10</v>
      </c>
      <c r="B53" s="14">
        <v>45393</v>
      </c>
      <c r="C53" s="52">
        <v>1276</v>
      </c>
      <c r="D53" s="53">
        <v>0</v>
      </c>
      <c r="E53" s="54">
        <v>0</v>
      </c>
      <c r="F53" s="54" t="s">
        <v>1194</v>
      </c>
      <c r="G53" s="55">
        <v>12</v>
      </c>
      <c r="H53" s="1"/>
      <c r="I53" s="1"/>
      <c r="J53" s="1"/>
      <c r="K53" s="1"/>
      <c r="L53" s="1"/>
      <c r="M53" s="1"/>
    </row>
    <row r="54" spans="1:13" x14ac:dyDescent="0.35">
      <c r="A54" s="13" t="s">
        <v>13</v>
      </c>
      <c r="B54" s="14">
        <v>45394</v>
      </c>
      <c r="C54" s="48">
        <v>2717</v>
      </c>
      <c r="D54" s="49">
        <v>124</v>
      </c>
      <c r="E54" s="50">
        <v>1</v>
      </c>
      <c r="F54" s="50" t="s">
        <v>1195</v>
      </c>
      <c r="G54" s="51">
        <v>10</v>
      </c>
      <c r="H54" s="1"/>
      <c r="I54" s="1"/>
      <c r="J54" s="1"/>
      <c r="K54" s="1"/>
      <c r="L54" s="1"/>
      <c r="M54" s="1"/>
    </row>
    <row r="55" spans="1:13" x14ac:dyDescent="0.35">
      <c r="A55" s="13" t="s">
        <v>16</v>
      </c>
      <c r="B55" s="14">
        <v>45395</v>
      </c>
      <c r="C55" s="56">
        <v>2701</v>
      </c>
      <c r="D55" s="57">
        <v>180</v>
      </c>
      <c r="E55" s="58">
        <v>0</v>
      </c>
      <c r="F55" s="58" t="s">
        <v>1196</v>
      </c>
      <c r="G55" s="59">
        <v>15</v>
      </c>
      <c r="H55" s="1" t="s">
        <v>821</v>
      </c>
      <c r="I55" s="1"/>
      <c r="J55" s="1"/>
      <c r="K55" s="1"/>
      <c r="L55" s="1"/>
      <c r="M55" s="1"/>
    </row>
    <row r="56" spans="1:13" x14ac:dyDescent="0.35">
      <c r="A56" s="13" t="s">
        <v>18</v>
      </c>
      <c r="B56" s="14">
        <v>45396</v>
      </c>
      <c r="C56" s="48"/>
      <c r="D56" s="49"/>
      <c r="E56" s="50"/>
      <c r="F56" s="50"/>
      <c r="G56" s="51"/>
      <c r="H56" s="1"/>
      <c r="I56" s="1"/>
      <c r="J56" s="1"/>
      <c r="K56" s="1"/>
      <c r="L56" s="1"/>
      <c r="M56" s="1"/>
    </row>
    <row r="57" spans="1:13" x14ac:dyDescent="0.35">
      <c r="A57" s="13" t="s">
        <v>20</v>
      </c>
      <c r="B57" s="14">
        <v>45397</v>
      </c>
      <c r="C57" s="56">
        <v>1780</v>
      </c>
      <c r="D57" s="16">
        <v>180</v>
      </c>
      <c r="E57" s="38">
        <v>0</v>
      </c>
      <c r="F57" s="38" t="s">
        <v>1197</v>
      </c>
      <c r="G57" s="39">
        <v>9</v>
      </c>
      <c r="H57" s="1"/>
      <c r="I57" s="1"/>
      <c r="J57" s="1"/>
      <c r="K57" s="1"/>
      <c r="L57" s="1"/>
      <c r="M57" s="1"/>
    </row>
    <row r="58" spans="1:13" x14ac:dyDescent="0.35">
      <c r="A58" s="13" t="s">
        <v>22</v>
      </c>
      <c r="B58" s="14">
        <v>45398</v>
      </c>
      <c r="C58" s="32">
        <v>2525</v>
      </c>
      <c r="D58" s="21">
        <v>600</v>
      </c>
      <c r="E58" s="22">
        <v>1</v>
      </c>
      <c r="F58" s="22" t="s">
        <v>280</v>
      </c>
      <c r="G58" s="23">
        <v>9</v>
      </c>
      <c r="H58" s="1"/>
      <c r="I58" s="1"/>
      <c r="J58" s="1"/>
      <c r="K58" s="1"/>
      <c r="L58" s="1"/>
      <c r="M58" s="1"/>
    </row>
    <row r="59" spans="1:13" x14ac:dyDescent="0.35">
      <c r="A59" s="13" t="s">
        <v>24</v>
      </c>
      <c r="B59" s="14">
        <v>45399</v>
      </c>
      <c r="C59" s="56">
        <v>2759</v>
      </c>
      <c r="D59" s="57">
        <v>65</v>
      </c>
      <c r="E59" s="38">
        <v>0</v>
      </c>
      <c r="F59" s="58" t="s">
        <v>1198</v>
      </c>
      <c r="G59" s="39">
        <v>10</v>
      </c>
      <c r="H59" s="1"/>
      <c r="I59" s="1"/>
      <c r="J59" s="1"/>
      <c r="K59" s="1"/>
      <c r="L59" s="1"/>
      <c r="M59" s="1"/>
    </row>
    <row r="60" spans="1:13" x14ac:dyDescent="0.35">
      <c r="A60" s="13" t="s">
        <v>10</v>
      </c>
      <c r="B60" s="14">
        <v>45400</v>
      </c>
      <c r="C60" s="62">
        <v>2602</v>
      </c>
      <c r="D60" s="63">
        <v>85</v>
      </c>
      <c r="E60" s="64">
        <v>0</v>
      </c>
      <c r="F60" s="64" t="s">
        <v>1199</v>
      </c>
      <c r="G60" s="65">
        <v>7</v>
      </c>
      <c r="H60" s="1"/>
      <c r="I60" s="1"/>
      <c r="J60" s="1"/>
      <c r="K60" s="1"/>
      <c r="L60" s="1"/>
      <c r="M60" s="1"/>
    </row>
    <row r="61" spans="1:13" x14ac:dyDescent="0.35">
      <c r="A61" s="13" t="s">
        <v>13</v>
      </c>
      <c r="B61" s="14">
        <v>45401</v>
      </c>
      <c r="C61" s="37">
        <v>921</v>
      </c>
      <c r="D61" s="16">
        <v>100</v>
      </c>
      <c r="E61" s="38">
        <v>0</v>
      </c>
      <c r="F61" s="38" t="s">
        <v>1200</v>
      </c>
      <c r="G61" s="39">
        <v>5</v>
      </c>
      <c r="H61" s="1"/>
      <c r="I61" s="1"/>
      <c r="J61" s="1"/>
      <c r="K61" s="1"/>
      <c r="L61" s="1"/>
      <c r="M61" s="1"/>
    </row>
    <row r="62" spans="1:13" x14ac:dyDescent="0.35">
      <c r="A62" s="13" t="s">
        <v>16</v>
      </c>
      <c r="B62" s="14">
        <v>45402</v>
      </c>
      <c r="C62" s="62">
        <v>1890</v>
      </c>
      <c r="D62" s="63">
        <v>220</v>
      </c>
      <c r="E62" s="64">
        <v>1</v>
      </c>
      <c r="F62" s="64" t="s">
        <v>1201</v>
      </c>
      <c r="G62" s="65">
        <v>13</v>
      </c>
      <c r="H62" s="1"/>
      <c r="I62" s="1"/>
      <c r="J62" s="1"/>
      <c r="K62" s="1"/>
      <c r="L62" s="1"/>
      <c r="M62" s="1"/>
    </row>
    <row r="63" spans="1:13" x14ac:dyDescent="0.35">
      <c r="A63" s="13" t="s">
        <v>18</v>
      </c>
      <c r="B63" s="14">
        <v>45403</v>
      </c>
      <c r="C63" s="26"/>
      <c r="D63" s="27"/>
      <c r="E63" s="28"/>
      <c r="F63" s="28"/>
      <c r="G63" s="29"/>
      <c r="H63" s="1"/>
      <c r="I63" s="1"/>
      <c r="J63" s="1"/>
      <c r="K63" s="1"/>
      <c r="L63" s="1"/>
      <c r="M63" s="1"/>
    </row>
    <row r="64" spans="1:13" x14ac:dyDescent="0.35">
      <c r="A64" s="13" t="s">
        <v>20</v>
      </c>
      <c r="B64" s="14">
        <v>45404</v>
      </c>
      <c r="C64" s="32">
        <v>3186</v>
      </c>
      <c r="D64" s="33">
        <v>0</v>
      </c>
      <c r="E64" s="34">
        <v>0</v>
      </c>
      <c r="F64" s="34" t="s">
        <v>1200</v>
      </c>
      <c r="G64" s="68">
        <v>12</v>
      </c>
      <c r="H64" s="1"/>
      <c r="I64" s="1"/>
      <c r="J64" s="1"/>
      <c r="K64" s="1"/>
      <c r="L64" s="1"/>
      <c r="M64" s="1"/>
    </row>
    <row r="65" spans="1:13" x14ac:dyDescent="0.35">
      <c r="A65" s="13" t="s">
        <v>22</v>
      </c>
      <c r="B65" s="14">
        <v>45405</v>
      </c>
      <c r="C65" s="56">
        <v>2832</v>
      </c>
      <c r="D65" s="57">
        <v>140</v>
      </c>
      <c r="E65" s="58">
        <v>1</v>
      </c>
      <c r="F65" s="58" t="s">
        <v>1202</v>
      </c>
      <c r="G65" s="59">
        <v>14</v>
      </c>
      <c r="H65" s="1"/>
      <c r="I65" s="1"/>
      <c r="J65" s="1"/>
      <c r="K65" s="1"/>
      <c r="L65" s="1"/>
      <c r="M65" s="1"/>
    </row>
    <row r="66" spans="1:13" x14ac:dyDescent="0.35">
      <c r="A66" s="13" t="s">
        <v>24</v>
      </c>
      <c r="B66" s="14">
        <v>45406</v>
      </c>
      <c r="C66" s="62">
        <v>3447</v>
      </c>
      <c r="D66" s="63">
        <v>400</v>
      </c>
      <c r="E66" s="64">
        <v>0</v>
      </c>
      <c r="F66" s="64" t="s">
        <v>639</v>
      </c>
      <c r="G66" s="65">
        <v>9</v>
      </c>
      <c r="H66" s="1"/>
      <c r="I66" s="1"/>
      <c r="J66" s="1"/>
      <c r="K66" s="1"/>
      <c r="L66" s="1"/>
      <c r="M66" s="1"/>
    </row>
    <row r="67" spans="1:13" x14ac:dyDescent="0.35">
      <c r="A67" s="13" t="s">
        <v>10</v>
      </c>
      <c r="B67" s="14">
        <v>45407</v>
      </c>
      <c r="C67" s="56">
        <v>1932</v>
      </c>
      <c r="D67" s="57">
        <v>109</v>
      </c>
      <c r="E67" s="58">
        <v>0</v>
      </c>
      <c r="F67" s="58" t="s">
        <v>1203</v>
      </c>
      <c r="G67" s="59">
        <v>11</v>
      </c>
      <c r="H67" s="1"/>
      <c r="I67" s="1"/>
      <c r="J67" s="1"/>
      <c r="K67" s="1"/>
      <c r="L67" s="1"/>
      <c r="M67" s="1"/>
    </row>
    <row r="68" spans="1:13" x14ac:dyDescent="0.35">
      <c r="A68" s="13" t="s">
        <v>13</v>
      </c>
      <c r="B68" s="14">
        <v>45408</v>
      </c>
      <c r="C68" s="32">
        <v>1350</v>
      </c>
      <c r="D68" s="33">
        <v>85</v>
      </c>
      <c r="E68" s="34">
        <v>0</v>
      </c>
      <c r="F68" s="34" t="s">
        <v>1204</v>
      </c>
      <c r="G68" s="68">
        <v>8</v>
      </c>
      <c r="H68" s="1"/>
      <c r="I68" s="1"/>
      <c r="J68" s="1"/>
      <c r="K68" s="1"/>
      <c r="L68" s="1"/>
      <c r="M68" s="1"/>
    </row>
    <row r="69" spans="1:13" x14ac:dyDescent="0.35">
      <c r="A69" s="13" t="s">
        <v>16</v>
      </c>
      <c r="B69" s="14">
        <v>45409</v>
      </c>
      <c r="C69" s="37">
        <v>3033</v>
      </c>
      <c r="D69" s="16">
        <v>415</v>
      </c>
      <c r="E69" s="38">
        <v>2</v>
      </c>
      <c r="F69" s="38" t="s">
        <v>859</v>
      </c>
      <c r="G69" s="39">
        <v>11</v>
      </c>
      <c r="H69" s="1"/>
      <c r="I69" s="1"/>
      <c r="J69" s="1"/>
      <c r="K69" s="1"/>
      <c r="L69" s="1"/>
      <c r="M69" s="1"/>
    </row>
    <row r="70" spans="1:13" x14ac:dyDescent="0.35">
      <c r="A70" s="13" t="s">
        <v>18</v>
      </c>
      <c r="B70" s="14">
        <v>45410</v>
      </c>
      <c r="C70" s="20"/>
      <c r="D70" s="21"/>
      <c r="E70" s="22"/>
      <c r="F70" s="22"/>
      <c r="G70" s="23"/>
      <c r="H70" s="1"/>
      <c r="I70" s="1"/>
      <c r="J70" s="1"/>
      <c r="K70" s="1"/>
      <c r="L70" s="1"/>
      <c r="M70" s="1"/>
    </row>
    <row r="71" spans="1:13" x14ac:dyDescent="0.35">
      <c r="A71" s="13" t="s">
        <v>20</v>
      </c>
      <c r="B71" s="14">
        <v>45411</v>
      </c>
      <c r="C71" s="56">
        <v>2872</v>
      </c>
      <c r="D71" s="16">
        <v>540</v>
      </c>
      <c r="E71" s="38">
        <v>0</v>
      </c>
      <c r="F71" s="38" t="s">
        <v>1205</v>
      </c>
      <c r="G71" s="39">
        <v>14</v>
      </c>
      <c r="H71" s="1"/>
      <c r="I71" s="1"/>
      <c r="J71" s="1"/>
      <c r="K71" s="1"/>
      <c r="L71" s="1"/>
      <c r="M71" s="1"/>
    </row>
    <row r="72" spans="1:13" x14ac:dyDescent="0.35">
      <c r="A72" s="13" t="s">
        <v>22</v>
      </c>
      <c r="B72" s="14">
        <v>45412</v>
      </c>
      <c r="C72" s="20">
        <v>2181</v>
      </c>
      <c r="D72" s="21">
        <v>470</v>
      </c>
      <c r="E72" s="22">
        <v>2</v>
      </c>
      <c r="F72" s="22" t="s">
        <v>1206</v>
      </c>
      <c r="G72" s="23">
        <v>9</v>
      </c>
      <c r="H72" s="1"/>
      <c r="I72" s="1"/>
      <c r="J72" s="1"/>
      <c r="K72" s="1"/>
      <c r="L72" s="1"/>
      <c r="M72" s="1"/>
    </row>
    <row r="73" spans="1:13" x14ac:dyDescent="0.35">
      <c r="A73" s="13"/>
      <c r="B73" s="14"/>
      <c r="C73" s="101"/>
      <c r="D73" s="102"/>
      <c r="E73" s="103"/>
      <c r="F73" s="103" t="s">
        <v>1113</v>
      </c>
      <c r="G73" s="104"/>
      <c r="H73" s="1"/>
      <c r="I73" s="1"/>
      <c r="J73" s="1"/>
      <c r="K73" s="1"/>
      <c r="L73" s="1"/>
      <c r="M73" s="1"/>
    </row>
    <row r="74" spans="1:13" x14ac:dyDescent="0.35">
      <c r="A74" s="78"/>
      <c r="B74" s="105"/>
      <c r="C74" s="79">
        <f>SUM(C43:C73)</f>
        <v>55612</v>
      </c>
      <c r="D74" s="80">
        <f>SUM(D43:D73)</f>
        <v>5558</v>
      </c>
      <c r="E74" s="81">
        <f>SUM(E43:E73)</f>
        <v>14</v>
      </c>
      <c r="F74" s="82"/>
      <c r="G74" s="82">
        <f>SUM(G43:G73)</f>
        <v>267</v>
      </c>
      <c r="H74" s="72"/>
      <c r="I74" s="72"/>
      <c r="J74" s="1"/>
      <c r="K74" s="1"/>
      <c r="L74" s="1"/>
      <c r="M74" s="1"/>
    </row>
    <row r="75" spans="1:13" x14ac:dyDescent="0.35">
      <c r="A75" s="1"/>
      <c r="B75" s="84"/>
      <c r="C75" s="72"/>
      <c r="D75" s="1"/>
      <c r="E75" s="87"/>
      <c r="F75" s="88"/>
      <c r="G75" s="1"/>
      <c r="H75" s="1"/>
      <c r="I75" s="1"/>
      <c r="J75" s="1"/>
      <c r="K75" s="1"/>
      <c r="L75" s="1"/>
      <c r="M75" s="1"/>
    </row>
    <row r="76" spans="1:13" x14ac:dyDescent="0.35">
      <c r="A76" s="1"/>
      <c r="B76" s="84"/>
      <c r="C76" s="72"/>
      <c r="D76" s="1"/>
      <c r="E76" s="72"/>
      <c r="F76" s="1"/>
      <c r="G76" s="1"/>
      <c r="H76" s="1"/>
      <c r="I76" s="1"/>
      <c r="J76" s="1"/>
      <c r="K76" s="1"/>
      <c r="L76" s="1"/>
      <c r="M76" s="1"/>
    </row>
    <row r="77" spans="1:13" ht="15.5" x14ac:dyDescent="0.35">
      <c r="A77" s="2"/>
      <c r="B77" s="952" t="s">
        <v>53</v>
      </c>
      <c r="C77" s="954" t="s">
        <v>0</v>
      </c>
      <c r="D77" s="3" t="s">
        <v>1160</v>
      </c>
      <c r="E77" s="106" t="s">
        <v>3</v>
      </c>
      <c r="F77" s="5" t="s">
        <v>6</v>
      </c>
      <c r="G77" s="6" t="s">
        <v>7</v>
      </c>
      <c r="H77" s="7"/>
      <c r="I77" s="7"/>
      <c r="J77" s="7"/>
      <c r="K77" s="7"/>
      <c r="L77" s="7"/>
      <c r="M77" s="7"/>
    </row>
    <row r="78" spans="1:13" ht="27" customHeight="1" x14ac:dyDescent="0.35">
      <c r="A78" s="8"/>
      <c r="B78" s="953"/>
      <c r="C78" s="955"/>
      <c r="D78" s="9" t="s">
        <v>1161</v>
      </c>
      <c r="E78" s="107" t="s">
        <v>0</v>
      </c>
      <c r="F78" s="11" t="s">
        <v>8</v>
      </c>
      <c r="G78" s="12" t="s">
        <v>9</v>
      </c>
      <c r="H78" s="1"/>
      <c r="I78" s="1"/>
      <c r="J78" s="951" t="s">
        <v>12</v>
      </c>
      <c r="K78" s="951"/>
      <c r="L78" s="1"/>
      <c r="M78" s="1"/>
    </row>
    <row r="79" spans="1:13" x14ac:dyDescent="0.35">
      <c r="A79" s="13" t="s">
        <v>20</v>
      </c>
      <c r="B79" s="14">
        <v>45383</v>
      </c>
      <c r="C79" s="15">
        <v>2092</v>
      </c>
      <c r="D79" s="16">
        <v>29</v>
      </c>
      <c r="E79" s="17">
        <v>0</v>
      </c>
      <c r="F79" s="1" t="s">
        <v>1207</v>
      </c>
      <c r="G79" s="19">
        <v>11</v>
      </c>
      <c r="H79" s="1"/>
      <c r="I79" s="1"/>
      <c r="J79" s="94" t="s">
        <v>15</v>
      </c>
      <c r="K79" s="95">
        <v>56000</v>
      </c>
      <c r="L79" s="1"/>
      <c r="M79" s="1"/>
    </row>
    <row r="80" spans="1:13" x14ac:dyDescent="0.35">
      <c r="A80" s="13" t="s">
        <v>22</v>
      </c>
      <c r="B80" s="14">
        <v>45384</v>
      </c>
      <c r="C80" s="20">
        <v>1277</v>
      </c>
      <c r="D80" s="21">
        <v>236</v>
      </c>
      <c r="E80" s="22">
        <v>0</v>
      </c>
      <c r="F80" s="22" t="s">
        <v>76</v>
      </c>
      <c r="G80" s="23">
        <v>10</v>
      </c>
      <c r="H80" s="1"/>
      <c r="I80" s="1"/>
      <c r="J80" s="96" t="s">
        <v>1164</v>
      </c>
      <c r="K80" s="97">
        <v>4096</v>
      </c>
      <c r="L80" s="1"/>
      <c r="M80" s="1"/>
    </row>
    <row r="81" spans="1:13" x14ac:dyDescent="0.35">
      <c r="A81" s="13" t="s">
        <v>24</v>
      </c>
      <c r="B81" s="14">
        <v>45385</v>
      </c>
      <c r="C81" s="26">
        <v>1275</v>
      </c>
      <c r="D81" s="27">
        <v>251</v>
      </c>
      <c r="E81" s="28">
        <v>1</v>
      </c>
      <c r="F81" s="28" t="s">
        <v>1208</v>
      </c>
      <c r="G81" s="29">
        <v>8</v>
      </c>
      <c r="H81" s="1"/>
      <c r="I81" s="1"/>
      <c r="J81" s="98" t="s">
        <v>3</v>
      </c>
      <c r="K81" s="99">
        <v>28</v>
      </c>
      <c r="L81" s="1"/>
      <c r="M81" s="1"/>
    </row>
    <row r="82" spans="1:13" x14ac:dyDescent="0.35">
      <c r="A82" s="13" t="s">
        <v>10</v>
      </c>
      <c r="B82" s="14">
        <v>45386</v>
      </c>
      <c r="C82" s="32">
        <v>2205</v>
      </c>
      <c r="D82" s="33">
        <v>87</v>
      </c>
      <c r="E82" s="34">
        <v>0</v>
      </c>
      <c r="F82" s="34" t="s">
        <v>1208</v>
      </c>
      <c r="G82" s="68">
        <v>9</v>
      </c>
      <c r="H82" s="1"/>
      <c r="I82" s="1"/>
      <c r="J82" s="1"/>
      <c r="K82" s="1"/>
      <c r="L82" s="1"/>
      <c r="M82" s="1"/>
    </row>
    <row r="83" spans="1:13" x14ac:dyDescent="0.35">
      <c r="A83" s="13" t="s">
        <v>13</v>
      </c>
      <c r="B83" s="14">
        <v>45387</v>
      </c>
      <c r="C83" s="26">
        <v>1640</v>
      </c>
      <c r="D83" s="27">
        <v>40</v>
      </c>
      <c r="E83" s="28">
        <v>0</v>
      </c>
      <c r="F83" s="28" t="s">
        <v>401</v>
      </c>
      <c r="G83" s="29">
        <v>15</v>
      </c>
      <c r="H83" s="1"/>
      <c r="I83" s="1"/>
      <c r="J83" s="1"/>
      <c r="K83" s="1"/>
      <c r="L83" s="1"/>
      <c r="M83" s="1"/>
    </row>
    <row r="84" spans="1:13" x14ac:dyDescent="0.35">
      <c r="A84" s="13" t="s">
        <v>16</v>
      </c>
      <c r="B84" s="14">
        <v>45388</v>
      </c>
      <c r="C84" s="20">
        <v>1576</v>
      </c>
      <c r="D84" s="21">
        <v>186</v>
      </c>
      <c r="E84" s="22">
        <v>0</v>
      </c>
      <c r="F84" s="22" t="s">
        <v>1209</v>
      </c>
      <c r="G84" s="23">
        <v>10</v>
      </c>
      <c r="H84" s="1"/>
      <c r="I84" s="1"/>
      <c r="J84" s="1"/>
      <c r="K84" s="1"/>
      <c r="L84" s="1"/>
      <c r="M84" s="1"/>
    </row>
    <row r="85" spans="1:13" x14ac:dyDescent="0.35">
      <c r="A85" s="13" t="s">
        <v>18</v>
      </c>
      <c r="B85" s="14">
        <v>45389</v>
      </c>
      <c r="C85" s="37"/>
      <c r="D85" s="16"/>
      <c r="E85" s="38"/>
      <c r="F85" s="38"/>
      <c r="G85" s="39"/>
      <c r="H85" s="1"/>
      <c r="I85" s="1"/>
      <c r="J85" s="1"/>
      <c r="K85" s="1"/>
      <c r="L85" s="1"/>
      <c r="M85" s="1"/>
    </row>
    <row r="86" spans="1:13" x14ac:dyDescent="0.35">
      <c r="A86" s="13" t="s">
        <v>20</v>
      </c>
      <c r="B86" s="14">
        <v>45390</v>
      </c>
      <c r="C86" s="40">
        <v>3623</v>
      </c>
      <c r="D86" s="41">
        <v>288</v>
      </c>
      <c r="E86" s="42">
        <v>0</v>
      </c>
      <c r="F86" s="42" t="s">
        <v>1210</v>
      </c>
      <c r="G86" s="43">
        <v>18</v>
      </c>
      <c r="H86" s="1"/>
      <c r="I86" s="1"/>
      <c r="J86" s="1"/>
      <c r="K86" s="1"/>
      <c r="L86" s="1"/>
      <c r="M86" s="1"/>
    </row>
    <row r="87" spans="1:13" x14ac:dyDescent="0.35">
      <c r="A87" s="13" t="s">
        <v>22</v>
      </c>
      <c r="B87" s="14">
        <v>45391</v>
      </c>
      <c r="C87" s="44">
        <v>3149</v>
      </c>
      <c r="D87" s="45">
        <v>174</v>
      </c>
      <c r="E87" s="46">
        <v>0</v>
      </c>
      <c r="F87" s="46" t="s">
        <v>1211</v>
      </c>
      <c r="G87" s="47">
        <v>16</v>
      </c>
      <c r="H87" s="1"/>
      <c r="I87" s="1"/>
      <c r="J87" s="1"/>
      <c r="K87" s="1"/>
      <c r="L87" s="1"/>
      <c r="M87" s="1"/>
    </row>
    <row r="88" spans="1:13" x14ac:dyDescent="0.35">
      <c r="A88" s="13" t="s">
        <v>24</v>
      </c>
      <c r="B88" s="14">
        <v>45392</v>
      </c>
      <c r="C88" s="48">
        <v>1107</v>
      </c>
      <c r="D88" s="49">
        <v>153</v>
      </c>
      <c r="E88" s="50">
        <v>0</v>
      </c>
      <c r="F88" s="50" t="s">
        <v>1212</v>
      </c>
      <c r="G88" s="51">
        <v>5</v>
      </c>
      <c r="H88" s="1"/>
      <c r="I88" s="1"/>
      <c r="J88" s="1"/>
      <c r="K88" s="1"/>
      <c r="L88" s="1"/>
      <c r="M88" s="1"/>
    </row>
    <row r="89" spans="1:13" x14ac:dyDescent="0.35">
      <c r="A89" s="13" t="s">
        <v>10</v>
      </c>
      <c r="B89" s="14">
        <v>45393</v>
      </c>
      <c r="C89" s="52">
        <v>2165</v>
      </c>
      <c r="D89" s="53">
        <v>137</v>
      </c>
      <c r="E89" s="54">
        <v>0</v>
      </c>
      <c r="F89" s="54" t="s">
        <v>1213</v>
      </c>
      <c r="G89" s="55">
        <v>10</v>
      </c>
      <c r="H89" s="1"/>
      <c r="I89" s="1"/>
      <c r="J89" s="1"/>
      <c r="K89" s="1"/>
      <c r="L89" s="1"/>
      <c r="M89" s="1"/>
    </row>
    <row r="90" spans="1:13" x14ac:dyDescent="0.35">
      <c r="A90" s="13" t="s">
        <v>13</v>
      </c>
      <c r="B90" s="14">
        <v>45394</v>
      </c>
      <c r="C90" s="48">
        <v>1933</v>
      </c>
      <c r="D90" s="49">
        <v>226</v>
      </c>
      <c r="E90" s="50">
        <v>1</v>
      </c>
      <c r="F90" s="50" t="s">
        <v>1214</v>
      </c>
      <c r="G90" s="51">
        <v>6</v>
      </c>
      <c r="H90" s="1"/>
      <c r="I90" s="1"/>
      <c r="J90" s="1"/>
      <c r="K90" s="1"/>
      <c r="L90" s="1"/>
      <c r="M90" s="1"/>
    </row>
    <row r="91" spans="1:13" x14ac:dyDescent="0.35">
      <c r="A91" s="13" t="s">
        <v>16</v>
      </c>
      <c r="B91" s="14">
        <v>45395</v>
      </c>
      <c r="C91" s="56">
        <v>3593</v>
      </c>
      <c r="D91" s="57">
        <v>69</v>
      </c>
      <c r="E91" s="58">
        <v>0</v>
      </c>
      <c r="F91" s="58" t="s">
        <v>1215</v>
      </c>
      <c r="G91" s="59">
        <v>17</v>
      </c>
      <c r="H91" s="1"/>
      <c r="I91" s="1"/>
      <c r="J91" s="1"/>
      <c r="K91" s="1"/>
      <c r="L91" s="1"/>
      <c r="M91" s="1"/>
    </row>
    <row r="92" spans="1:13" x14ac:dyDescent="0.35">
      <c r="A92" s="13" t="s">
        <v>18</v>
      </c>
      <c r="B92" s="14">
        <v>45396</v>
      </c>
      <c r="C92" s="48"/>
      <c r="D92" s="49"/>
      <c r="E92" s="50"/>
      <c r="F92" s="50"/>
      <c r="G92" s="51"/>
      <c r="H92" s="1"/>
      <c r="I92" s="1"/>
      <c r="J92" s="1"/>
      <c r="K92" s="1"/>
      <c r="L92" s="1"/>
      <c r="M92" s="1"/>
    </row>
    <row r="93" spans="1:13" x14ac:dyDescent="0.35">
      <c r="A93" s="13" t="s">
        <v>20</v>
      </c>
      <c r="B93" s="14">
        <v>45397</v>
      </c>
      <c r="C93" s="56">
        <v>1242</v>
      </c>
      <c r="D93" s="16">
        <v>69</v>
      </c>
      <c r="E93" s="38">
        <v>1</v>
      </c>
      <c r="F93" s="38" t="s">
        <v>1216</v>
      </c>
      <c r="G93" s="39">
        <v>9</v>
      </c>
      <c r="H93" s="1"/>
      <c r="I93" s="1"/>
      <c r="J93" s="1"/>
      <c r="K93" s="1"/>
      <c r="L93" s="1"/>
      <c r="M93" s="1"/>
    </row>
    <row r="94" spans="1:13" x14ac:dyDescent="0.35">
      <c r="A94" s="13" t="s">
        <v>22</v>
      </c>
      <c r="B94" s="14">
        <v>45398</v>
      </c>
      <c r="C94" s="32">
        <v>2283</v>
      </c>
      <c r="D94" s="21">
        <v>233</v>
      </c>
      <c r="E94" s="22">
        <v>0</v>
      </c>
      <c r="F94" s="22" t="s">
        <v>1217</v>
      </c>
      <c r="G94" s="23">
        <v>16</v>
      </c>
      <c r="H94" s="1"/>
      <c r="I94" s="1"/>
      <c r="J94" s="1"/>
      <c r="K94" s="1"/>
      <c r="L94" s="1"/>
      <c r="M94" s="1"/>
    </row>
    <row r="95" spans="1:13" x14ac:dyDescent="0.35">
      <c r="A95" s="13" t="s">
        <v>24</v>
      </c>
      <c r="B95" s="14">
        <v>45399</v>
      </c>
      <c r="C95" s="56">
        <v>1841</v>
      </c>
      <c r="D95" s="57">
        <v>88</v>
      </c>
      <c r="E95" s="38">
        <v>0</v>
      </c>
      <c r="F95" s="58" t="s">
        <v>1218</v>
      </c>
      <c r="G95" s="39">
        <v>8</v>
      </c>
      <c r="H95" s="1"/>
      <c r="I95" s="1"/>
      <c r="J95" s="1"/>
      <c r="K95" s="1"/>
      <c r="L95" s="1"/>
      <c r="M95" s="1"/>
    </row>
    <row r="96" spans="1:13" x14ac:dyDescent="0.35">
      <c r="A96" s="13" t="s">
        <v>10</v>
      </c>
      <c r="B96" s="14">
        <v>45400</v>
      </c>
      <c r="C96" s="62">
        <v>2398</v>
      </c>
      <c r="D96" s="109">
        <v>113</v>
      </c>
      <c r="E96" s="64">
        <v>1</v>
      </c>
      <c r="F96" s="64" t="s">
        <v>505</v>
      </c>
      <c r="G96" s="65">
        <v>9</v>
      </c>
      <c r="H96" s="1"/>
      <c r="I96" s="1"/>
      <c r="J96" s="1"/>
      <c r="K96" s="1"/>
      <c r="L96" s="1"/>
      <c r="M96" s="1"/>
    </row>
    <row r="97" spans="1:13" x14ac:dyDescent="0.35">
      <c r="A97" s="13" t="s">
        <v>13</v>
      </c>
      <c r="B97" s="14">
        <v>45401</v>
      </c>
      <c r="C97" s="37">
        <v>3084</v>
      </c>
      <c r="D97" s="16">
        <v>109</v>
      </c>
      <c r="E97" s="38">
        <v>0</v>
      </c>
      <c r="F97" s="38" t="s">
        <v>1219</v>
      </c>
      <c r="G97" s="39">
        <v>11</v>
      </c>
      <c r="H97" s="1"/>
      <c r="I97" s="1"/>
      <c r="J97" s="1"/>
      <c r="K97" s="1"/>
      <c r="L97" s="1"/>
      <c r="M97" s="1"/>
    </row>
    <row r="98" spans="1:13" x14ac:dyDescent="0.35">
      <c r="A98" s="13" t="s">
        <v>16</v>
      </c>
      <c r="B98" s="14">
        <v>45402</v>
      </c>
      <c r="C98" s="62">
        <v>1617</v>
      </c>
      <c r="D98" s="63">
        <v>240</v>
      </c>
      <c r="E98" s="64">
        <v>1</v>
      </c>
      <c r="F98" s="64" t="s">
        <v>1220</v>
      </c>
      <c r="G98" s="65">
        <v>18</v>
      </c>
      <c r="H98" s="1"/>
      <c r="I98" s="1"/>
      <c r="J98" s="1"/>
      <c r="K98" s="1"/>
      <c r="L98" s="1"/>
      <c r="M98" s="1"/>
    </row>
    <row r="99" spans="1:13" x14ac:dyDescent="0.35">
      <c r="A99" s="13" t="s">
        <v>18</v>
      </c>
      <c r="B99" s="14">
        <v>45403</v>
      </c>
      <c r="C99" s="26"/>
      <c r="D99" s="27"/>
      <c r="E99" s="28"/>
      <c r="F99" s="28"/>
      <c r="G99" s="29"/>
      <c r="H99" s="1"/>
      <c r="I99" s="1"/>
      <c r="J99" s="1"/>
      <c r="K99" s="1"/>
      <c r="L99" s="1"/>
      <c r="M99" s="1"/>
    </row>
    <row r="100" spans="1:13" x14ac:dyDescent="0.35">
      <c r="A100" s="13" t="s">
        <v>20</v>
      </c>
      <c r="B100" s="14">
        <v>45404</v>
      </c>
      <c r="C100" s="32">
        <v>853</v>
      </c>
      <c r="D100" s="33">
        <v>64</v>
      </c>
      <c r="E100" s="34">
        <v>0</v>
      </c>
      <c r="F100" s="34" t="s">
        <v>1221</v>
      </c>
      <c r="G100" s="68">
        <v>10</v>
      </c>
      <c r="H100" s="1"/>
      <c r="I100" s="1"/>
      <c r="J100" s="1"/>
      <c r="K100" s="1"/>
      <c r="L100" s="1"/>
      <c r="M100" s="1"/>
    </row>
    <row r="101" spans="1:13" x14ac:dyDescent="0.35">
      <c r="A101" s="13" t="s">
        <v>22</v>
      </c>
      <c r="B101" s="14">
        <v>45405</v>
      </c>
      <c r="C101" s="56">
        <v>3881</v>
      </c>
      <c r="D101" s="57">
        <v>358</v>
      </c>
      <c r="E101" s="58">
        <v>0</v>
      </c>
      <c r="F101" s="58" t="s">
        <v>1222</v>
      </c>
      <c r="G101" s="59">
        <v>14</v>
      </c>
      <c r="H101" s="1"/>
      <c r="I101" s="1"/>
      <c r="J101" s="1"/>
      <c r="K101" s="1"/>
      <c r="L101" s="1"/>
      <c r="M101" s="1"/>
    </row>
    <row r="102" spans="1:13" x14ac:dyDescent="0.35">
      <c r="A102" s="13" t="s">
        <v>24</v>
      </c>
      <c r="B102" s="14">
        <v>45406</v>
      </c>
      <c r="C102" s="62">
        <v>3005</v>
      </c>
      <c r="D102" s="63">
        <v>195</v>
      </c>
      <c r="E102" s="64">
        <v>0</v>
      </c>
      <c r="F102" s="64" t="s">
        <v>1223</v>
      </c>
      <c r="G102" s="65">
        <v>13</v>
      </c>
      <c r="H102" s="1"/>
      <c r="I102" s="1"/>
      <c r="J102" s="1"/>
      <c r="K102" s="1"/>
      <c r="L102" s="1"/>
      <c r="M102" s="1"/>
    </row>
    <row r="103" spans="1:13" x14ac:dyDescent="0.35">
      <c r="A103" s="13" t="s">
        <v>10</v>
      </c>
      <c r="B103" s="14">
        <v>45407</v>
      </c>
      <c r="C103" s="56">
        <v>2021</v>
      </c>
      <c r="D103" s="57">
        <v>160</v>
      </c>
      <c r="E103" s="58">
        <v>0</v>
      </c>
      <c r="F103" s="58" t="s">
        <v>1224</v>
      </c>
      <c r="G103" s="59">
        <v>9</v>
      </c>
      <c r="H103" s="1"/>
      <c r="I103" s="1"/>
      <c r="J103" s="1"/>
      <c r="K103" s="1"/>
      <c r="L103" s="72"/>
      <c r="M103" s="1"/>
    </row>
    <row r="104" spans="1:13" x14ac:dyDescent="0.35">
      <c r="A104" s="13" t="s">
        <v>13</v>
      </c>
      <c r="B104" s="14">
        <v>45408</v>
      </c>
      <c r="C104" s="32">
        <v>2810</v>
      </c>
      <c r="D104" s="33">
        <v>179</v>
      </c>
      <c r="E104" s="34">
        <v>0</v>
      </c>
      <c r="F104" s="34" t="s">
        <v>1225</v>
      </c>
      <c r="G104" s="68">
        <v>10</v>
      </c>
      <c r="H104" s="1"/>
      <c r="I104" s="1"/>
      <c r="J104" s="1"/>
      <c r="K104" s="1"/>
      <c r="L104" s="72"/>
      <c r="M104" s="1"/>
    </row>
    <row r="105" spans="1:13" x14ac:dyDescent="0.35">
      <c r="A105" s="13" t="s">
        <v>16</v>
      </c>
      <c r="B105" s="14">
        <v>45409</v>
      </c>
      <c r="C105" s="37">
        <v>905</v>
      </c>
      <c r="D105" s="16">
        <v>69</v>
      </c>
      <c r="E105" s="38">
        <v>0</v>
      </c>
      <c r="F105" s="38" t="s">
        <v>1226</v>
      </c>
      <c r="G105" s="108">
        <v>7</v>
      </c>
      <c r="H105" s="1"/>
      <c r="I105" s="1"/>
      <c r="J105" s="1"/>
      <c r="K105" s="1"/>
      <c r="L105" s="1"/>
      <c r="M105" s="1"/>
    </row>
    <row r="106" spans="1:13" x14ac:dyDescent="0.35">
      <c r="A106" s="13" t="s">
        <v>18</v>
      </c>
      <c r="B106" s="14">
        <v>45410</v>
      </c>
      <c r="C106" s="20">
        <v>261</v>
      </c>
      <c r="D106" s="21">
        <v>0</v>
      </c>
      <c r="E106" s="22">
        <v>0</v>
      </c>
      <c r="F106" s="38" t="s">
        <v>1226</v>
      </c>
      <c r="G106" s="23">
        <v>3</v>
      </c>
      <c r="H106" s="1"/>
      <c r="I106" s="1"/>
      <c r="L106" s="1"/>
      <c r="M106" s="1"/>
    </row>
    <row r="107" spans="1:13" x14ac:dyDescent="0.35">
      <c r="A107" s="13" t="s">
        <v>20</v>
      </c>
      <c r="B107" s="14">
        <v>45411</v>
      </c>
      <c r="C107" s="56">
        <v>2068</v>
      </c>
      <c r="D107" s="16">
        <v>160</v>
      </c>
      <c r="E107" s="38">
        <v>1</v>
      </c>
      <c r="F107" s="1" t="s">
        <v>60</v>
      </c>
      <c r="G107" s="39">
        <v>12</v>
      </c>
      <c r="H107" s="1"/>
      <c r="I107" s="1"/>
      <c r="L107" s="1"/>
      <c r="M107" s="1"/>
    </row>
    <row r="108" spans="1:13" x14ac:dyDescent="0.35">
      <c r="A108" s="13" t="s">
        <v>22</v>
      </c>
      <c r="B108" s="14">
        <v>45412</v>
      </c>
      <c r="C108" s="20">
        <v>2240</v>
      </c>
      <c r="D108" s="21">
        <v>98</v>
      </c>
      <c r="E108" s="22">
        <v>0</v>
      </c>
      <c r="F108" s="22" t="s">
        <v>59</v>
      </c>
      <c r="G108" s="23">
        <v>7</v>
      </c>
      <c r="H108" s="1"/>
      <c r="I108" s="1"/>
      <c r="L108" s="1"/>
      <c r="M108" s="1"/>
    </row>
    <row r="109" spans="1:13" x14ac:dyDescent="0.35">
      <c r="A109" s="13"/>
      <c r="B109" s="14"/>
      <c r="C109" s="101"/>
      <c r="D109" s="102"/>
      <c r="E109" s="103"/>
      <c r="F109" s="103" t="s">
        <v>1135</v>
      </c>
      <c r="G109" s="104"/>
      <c r="H109" s="1"/>
      <c r="I109" s="1"/>
      <c r="L109" s="1"/>
      <c r="M109" s="1"/>
    </row>
    <row r="110" spans="1:13" x14ac:dyDescent="0.35">
      <c r="A110" s="78"/>
      <c r="B110" s="105"/>
      <c r="C110" s="79">
        <f>SUM(C79:C109)</f>
        <v>56144</v>
      </c>
      <c r="D110" s="80">
        <f>SUM(D79:D109)</f>
        <v>4011</v>
      </c>
      <c r="E110" s="81">
        <f>SUM(E79:E109)</f>
        <v>6</v>
      </c>
      <c r="F110" s="82"/>
      <c r="G110" s="82">
        <f>SUM(G79:G109)</f>
        <v>291</v>
      </c>
      <c r="H110" s="72"/>
      <c r="I110" s="72"/>
      <c r="J110" s="1"/>
      <c r="K110" s="1"/>
      <c r="L110" s="1"/>
      <c r="M110" s="1"/>
    </row>
    <row r="111" spans="1:13" x14ac:dyDescent="0.35">
      <c r="A111" s="1"/>
      <c r="B111" s="84"/>
      <c r="C111" s="72"/>
      <c r="D111" s="87"/>
      <c r="E111" s="88"/>
      <c r="F111" s="1"/>
      <c r="G111" s="1"/>
      <c r="H111" s="1"/>
      <c r="I111" s="1"/>
      <c r="J111" s="1"/>
      <c r="K111" s="1"/>
      <c r="L111" s="1"/>
      <c r="M111" s="1"/>
    </row>
    <row r="112" spans="1:13" x14ac:dyDescent="0.35">
      <c r="A112" s="1"/>
      <c r="B112" s="84"/>
      <c r="C112" s="110"/>
      <c r="D112" s="72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35">
      <c r="A113" s="1"/>
      <c r="B113" s="84"/>
      <c r="C113" s="72"/>
      <c r="D113" s="1"/>
      <c r="E113" s="72"/>
      <c r="F113" s="1"/>
      <c r="G113" s="1"/>
      <c r="H113" s="1"/>
      <c r="I113" s="1"/>
      <c r="J113" s="1"/>
      <c r="K113" s="1"/>
      <c r="L113" s="1"/>
      <c r="M113" s="1"/>
    </row>
    <row r="114" spans="1:13" x14ac:dyDescent="0.35">
      <c r="A114" s="956" t="s">
        <v>85</v>
      </c>
      <c r="B114" s="957"/>
      <c r="C114" s="963" t="s">
        <v>1</v>
      </c>
      <c r="D114" s="964"/>
      <c r="E114" s="965"/>
      <c r="F114" s="1"/>
      <c r="G114" s="1"/>
      <c r="H114" s="1"/>
      <c r="I114" s="1"/>
      <c r="J114" s="1"/>
      <c r="K114" s="1"/>
      <c r="L114" s="1"/>
      <c r="M114" s="1"/>
    </row>
    <row r="115" spans="1:13" x14ac:dyDescent="0.35">
      <c r="A115" s="958"/>
      <c r="B115" s="959"/>
      <c r="C115" s="966"/>
      <c r="D115" s="967"/>
      <c r="E115" s="968"/>
      <c r="F115" s="1"/>
      <c r="G115" s="1"/>
      <c r="H115" s="1"/>
      <c r="I115" s="1"/>
      <c r="J115" s="1"/>
      <c r="K115" s="1"/>
      <c r="L115" s="1"/>
      <c r="M115" s="1"/>
    </row>
    <row r="116" spans="1:13" ht="15.5" x14ac:dyDescent="0.35">
      <c r="A116" s="958"/>
      <c r="B116" s="960"/>
      <c r="C116" s="969" t="s">
        <v>88</v>
      </c>
      <c r="D116" s="111" t="s">
        <v>89</v>
      </c>
      <c r="E116" s="112" t="s">
        <v>90</v>
      </c>
      <c r="F116" s="1"/>
      <c r="G116" s="1"/>
      <c r="H116" s="1"/>
      <c r="I116" s="1"/>
      <c r="J116" s="1"/>
      <c r="K116" s="1"/>
      <c r="L116" s="1"/>
      <c r="M116" s="1"/>
    </row>
    <row r="117" spans="1:13" x14ac:dyDescent="0.35">
      <c r="A117" s="961"/>
      <c r="B117" s="962"/>
      <c r="C117" s="970"/>
      <c r="D117" s="11" t="s">
        <v>7</v>
      </c>
      <c r="E117" s="113" t="s">
        <v>0</v>
      </c>
      <c r="F117" s="1"/>
      <c r="G117" s="1"/>
      <c r="H117" s="1"/>
      <c r="I117" s="1"/>
      <c r="J117" s="1"/>
      <c r="K117" s="1"/>
      <c r="L117" s="1"/>
      <c r="M117" s="1"/>
    </row>
    <row r="118" spans="1:13" x14ac:dyDescent="0.35">
      <c r="A118" s="13" t="s">
        <v>20</v>
      </c>
      <c r="B118" s="14">
        <v>45383</v>
      </c>
      <c r="C118" s="13">
        <v>657</v>
      </c>
      <c r="D118" s="114">
        <v>8</v>
      </c>
      <c r="E118" s="19">
        <v>0</v>
      </c>
      <c r="F118" s="1"/>
      <c r="G118" s="1"/>
      <c r="H118" s="1"/>
      <c r="I118" s="1"/>
      <c r="J118" s="1"/>
      <c r="K118" s="1"/>
      <c r="L118" s="1"/>
      <c r="M118" s="1"/>
    </row>
    <row r="119" spans="1:13" x14ac:dyDescent="0.35">
      <c r="A119" s="13" t="s">
        <v>22</v>
      </c>
      <c r="B119" s="14">
        <v>45384</v>
      </c>
      <c r="C119" s="115">
        <v>2292</v>
      </c>
      <c r="D119" s="116">
        <v>23</v>
      </c>
      <c r="E119" s="23">
        <v>0</v>
      </c>
      <c r="F119" s="1"/>
      <c r="G119" s="1"/>
      <c r="H119" s="1"/>
      <c r="I119" s="1"/>
      <c r="J119" s="1"/>
      <c r="K119" s="1"/>
      <c r="L119" s="1"/>
      <c r="M119" s="1"/>
    </row>
    <row r="120" spans="1:13" x14ac:dyDescent="0.35">
      <c r="A120" s="13" t="s">
        <v>24</v>
      </c>
      <c r="B120" s="14">
        <v>45385</v>
      </c>
      <c r="C120" s="117">
        <v>4001</v>
      </c>
      <c r="D120" s="114">
        <v>22</v>
      </c>
      <c r="E120" s="29">
        <v>0</v>
      </c>
      <c r="F120" s="1"/>
      <c r="G120" s="1"/>
      <c r="H120" s="1"/>
      <c r="I120" s="1"/>
      <c r="J120" s="1"/>
      <c r="K120" s="1"/>
      <c r="L120" s="1"/>
      <c r="M120" s="1"/>
    </row>
    <row r="121" spans="1:13" x14ac:dyDescent="0.35">
      <c r="A121" s="13" t="s">
        <v>10</v>
      </c>
      <c r="B121" s="14">
        <v>45386</v>
      </c>
      <c r="C121" s="118">
        <v>3926</v>
      </c>
      <c r="D121" s="116">
        <v>20</v>
      </c>
      <c r="E121" s="68">
        <v>0</v>
      </c>
      <c r="F121" s="1"/>
      <c r="G121" s="1"/>
      <c r="H121" s="1"/>
      <c r="I121" s="1"/>
      <c r="J121" s="1"/>
      <c r="K121" s="1"/>
      <c r="L121" s="1"/>
      <c r="M121" s="1"/>
    </row>
    <row r="122" spans="1:13" x14ac:dyDescent="0.35">
      <c r="A122" s="13" t="s">
        <v>13</v>
      </c>
      <c r="B122" s="14">
        <v>45387</v>
      </c>
      <c r="C122" s="117">
        <v>3380</v>
      </c>
      <c r="D122" s="114">
        <v>15</v>
      </c>
      <c r="E122" s="29">
        <v>0</v>
      </c>
      <c r="F122" s="1"/>
      <c r="G122" s="1"/>
      <c r="H122" s="1"/>
      <c r="I122" s="1"/>
      <c r="J122" s="1"/>
      <c r="K122" s="1"/>
      <c r="L122" s="1"/>
      <c r="M122" s="1"/>
    </row>
    <row r="123" spans="1:13" x14ac:dyDescent="0.35">
      <c r="A123" s="13" t="s">
        <v>16</v>
      </c>
      <c r="B123" s="14">
        <v>45388</v>
      </c>
      <c r="C123" s="119">
        <v>270</v>
      </c>
      <c r="D123" s="116">
        <v>7</v>
      </c>
      <c r="E123" s="23">
        <v>0</v>
      </c>
      <c r="F123" s="1"/>
      <c r="G123" s="1"/>
      <c r="H123" s="1"/>
      <c r="I123" s="1"/>
      <c r="J123" s="1"/>
      <c r="K123" s="1"/>
      <c r="L123" s="1"/>
      <c r="M123" s="1"/>
    </row>
    <row r="124" spans="1:13" x14ac:dyDescent="0.35">
      <c r="A124" s="13" t="s">
        <v>18</v>
      </c>
      <c r="B124" s="14">
        <v>45389</v>
      </c>
      <c r="C124" s="120"/>
      <c r="D124" s="114"/>
      <c r="E124" s="39"/>
      <c r="F124" s="1"/>
      <c r="G124" s="1"/>
      <c r="H124" s="1"/>
      <c r="I124" s="1"/>
      <c r="J124" s="1"/>
      <c r="K124" s="1"/>
      <c r="L124" s="1"/>
      <c r="M124" s="1"/>
    </row>
    <row r="125" spans="1:13" x14ac:dyDescent="0.35">
      <c r="A125" s="13" t="s">
        <v>20</v>
      </c>
      <c r="B125" s="14">
        <v>45390</v>
      </c>
      <c r="C125" s="121">
        <v>320</v>
      </c>
      <c r="D125" s="116">
        <v>8</v>
      </c>
      <c r="E125" s="43">
        <v>0</v>
      </c>
      <c r="F125" s="1"/>
      <c r="G125" s="1"/>
      <c r="H125" s="1"/>
      <c r="I125" s="1"/>
      <c r="J125" s="1"/>
      <c r="K125" s="1"/>
      <c r="L125" s="1"/>
      <c r="M125" s="1"/>
    </row>
    <row r="126" spans="1:13" x14ac:dyDescent="0.35">
      <c r="A126" s="13" t="s">
        <v>22</v>
      </c>
      <c r="B126" s="14">
        <v>45391</v>
      </c>
      <c r="C126" s="122">
        <v>3479</v>
      </c>
      <c r="D126" s="114">
        <v>30</v>
      </c>
      <c r="E126" s="47">
        <v>1</v>
      </c>
      <c r="F126" s="1"/>
      <c r="G126" s="1"/>
      <c r="H126" s="1"/>
      <c r="I126" s="1"/>
      <c r="J126" s="1"/>
      <c r="K126" s="1"/>
      <c r="L126" s="1"/>
      <c r="M126" s="1"/>
    </row>
    <row r="127" spans="1:13" x14ac:dyDescent="0.35">
      <c r="A127" s="13" t="s">
        <v>24</v>
      </c>
      <c r="B127" s="14">
        <v>45392</v>
      </c>
      <c r="C127" s="122">
        <v>2315</v>
      </c>
      <c r="D127" s="116">
        <v>21</v>
      </c>
      <c r="E127" s="51">
        <v>0</v>
      </c>
      <c r="F127" s="1"/>
      <c r="G127" s="1"/>
      <c r="H127" s="1"/>
      <c r="I127" s="1"/>
      <c r="J127" s="1"/>
      <c r="K127" s="1"/>
      <c r="L127" s="1"/>
      <c r="M127" s="1"/>
    </row>
    <row r="128" spans="1:13" x14ac:dyDescent="0.35">
      <c r="A128" s="13" t="s">
        <v>10</v>
      </c>
      <c r="B128" s="14">
        <v>45393</v>
      </c>
      <c r="C128" s="122">
        <v>2860</v>
      </c>
      <c r="D128" s="114">
        <v>17</v>
      </c>
      <c r="E128" s="55">
        <v>0</v>
      </c>
      <c r="F128" s="1"/>
      <c r="G128" s="1"/>
      <c r="H128" s="1"/>
      <c r="I128" s="1"/>
      <c r="J128" s="1"/>
      <c r="K128" s="1"/>
      <c r="L128" s="1"/>
      <c r="M128" s="1"/>
    </row>
    <row r="129" spans="1:13" x14ac:dyDescent="0.35">
      <c r="A129" s="13" t="s">
        <v>13</v>
      </c>
      <c r="B129" s="14">
        <v>45394</v>
      </c>
      <c r="C129" s="122">
        <v>1188</v>
      </c>
      <c r="D129" s="116">
        <v>13</v>
      </c>
      <c r="E129" s="51">
        <v>0</v>
      </c>
      <c r="F129" s="1"/>
      <c r="G129" s="1"/>
      <c r="H129" s="1"/>
      <c r="I129" s="1"/>
      <c r="J129" s="1"/>
      <c r="K129" s="1"/>
      <c r="L129" s="1"/>
      <c r="M129" s="1"/>
    </row>
    <row r="130" spans="1:13" x14ac:dyDescent="0.35">
      <c r="A130" s="13" t="s">
        <v>16</v>
      </c>
      <c r="B130" s="14">
        <v>45395</v>
      </c>
      <c r="C130" s="122">
        <v>0</v>
      </c>
      <c r="D130" s="114">
        <v>7</v>
      </c>
      <c r="E130" s="59">
        <v>0</v>
      </c>
      <c r="F130" s="1"/>
      <c r="G130" s="1"/>
      <c r="H130" s="1"/>
      <c r="I130" s="1"/>
      <c r="J130" s="1"/>
      <c r="K130" s="1"/>
      <c r="L130" s="1"/>
      <c r="M130" s="1"/>
    </row>
    <row r="131" spans="1:13" x14ac:dyDescent="0.35">
      <c r="A131" s="13" t="s">
        <v>18</v>
      </c>
      <c r="B131" s="14">
        <v>45396</v>
      </c>
      <c r="C131" s="122"/>
      <c r="D131" s="116"/>
      <c r="E131" s="51"/>
      <c r="F131" s="1"/>
      <c r="G131" s="1"/>
      <c r="H131" s="1"/>
      <c r="I131" s="1"/>
      <c r="J131" s="1"/>
      <c r="K131" s="1"/>
      <c r="L131" s="1"/>
      <c r="M131" s="1"/>
    </row>
    <row r="132" spans="1:13" x14ac:dyDescent="0.35">
      <c r="A132" s="13" t="s">
        <v>20</v>
      </c>
      <c r="B132" s="14">
        <v>45397</v>
      </c>
      <c r="C132" s="122">
        <v>3894</v>
      </c>
      <c r="D132" s="114">
        <v>15</v>
      </c>
      <c r="E132" s="59">
        <v>0</v>
      </c>
      <c r="F132" s="1"/>
      <c r="G132" s="1"/>
      <c r="H132" s="1"/>
      <c r="I132" s="1"/>
      <c r="J132" s="1"/>
      <c r="K132" s="1"/>
      <c r="L132" s="1"/>
      <c r="M132" s="1"/>
    </row>
    <row r="133" spans="1:13" x14ac:dyDescent="0.35">
      <c r="A133" s="13" t="s">
        <v>22</v>
      </c>
      <c r="B133" s="14">
        <v>45398</v>
      </c>
      <c r="C133" s="122">
        <v>3246</v>
      </c>
      <c r="D133" s="116">
        <v>27</v>
      </c>
      <c r="E133" s="23">
        <v>0</v>
      </c>
      <c r="F133" s="1"/>
      <c r="G133" s="1"/>
      <c r="H133" s="1"/>
      <c r="I133" s="1"/>
      <c r="J133" s="1"/>
      <c r="K133" s="1"/>
      <c r="L133" s="1"/>
      <c r="M133" s="1"/>
    </row>
    <row r="134" spans="1:13" x14ac:dyDescent="0.35">
      <c r="A134" s="13" t="s">
        <v>24</v>
      </c>
      <c r="B134" s="14">
        <v>45399</v>
      </c>
      <c r="C134" s="122">
        <v>4063</v>
      </c>
      <c r="D134" s="123">
        <v>22</v>
      </c>
      <c r="E134" s="59">
        <v>0</v>
      </c>
      <c r="F134" s="1"/>
      <c r="G134" s="1"/>
      <c r="H134" s="1"/>
      <c r="I134" s="1"/>
      <c r="J134" s="1"/>
      <c r="K134" s="1"/>
      <c r="L134" s="1"/>
      <c r="M134" s="1"/>
    </row>
    <row r="135" spans="1:13" x14ac:dyDescent="0.35">
      <c r="A135" s="13" t="s">
        <v>10</v>
      </c>
      <c r="B135" s="14">
        <v>45400</v>
      </c>
      <c r="C135" s="122">
        <v>687</v>
      </c>
      <c r="D135" s="124">
        <v>21</v>
      </c>
      <c r="E135" s="65">
        <v>1</v>
      </c>
      <c r="F135" s="1"/>
      <c r="G135" s="1"/>
      <c r="H135" s="1"/>
      <c r="I135" s="1"/>
      <c r="J135" s="1"/>
      <c r="K135" s="1"/>
      <c r="L135" s="1"/>
      <c r="M135" s="1"/>
    </row>
    <row r="136" spans="1:13" x14ac:dyDescent="0.35">
      <c r="A136" s="13" t="s">
        <v>13</v>
      </c>
      <c r="B136" s="14">
        <v>45401</v>
      </c>
      <c r="C136" s="122">
        <v>2592</v>
      </c>
      <c r="D136" s="125">
        <v>16</v>
      </c>
      <c r="E136" s="39">
        <v>1</v>
      </c>
      <c r="F136" s="1"/>
      <c r="G136" s="1"/>
      <c r="H136" s="1"/>
      <c r="I136" s="1"/>
      <c r="J136" s="1"/>
      <c r="K136" s="1"/>
      <c r="L136" s="1"/>
      <c r="M136" s="1"/>
    </row>
    <row r="137" spans="1:13" x14ac:dyDescent="0.35">
      <c r="A137" s="13" t="s">
        <v>16</v>
      </c>
      <c r="B137" s="14">
        <v>45402</v>
      </c>
      <c r="C137" s="122">
        <v>5971</v>
      </c>
      <c r="D137" s="124">
        <v>12</v>
      </c>
      <c r="E137" s="65">
        <v>0</v>
      </c>
      <c r="F137" s="1"/>
      <c r="G137" s="1"/>
      <c r="H137" s="1"/>
      <c r="I137" s="1"/>
      <c r="J137" s="1"/>
      <c r="K137" s="1"/>
      <c r="L137" s="1"/>
      <c r="M137" s="1"/>
    </row>
    <row r="138" spans="1:13" x14ac:dyDescent="0.35">
      <c r="A138" s="13" t="s">
        <v>18</v>
      </c>
      <c r="B138" s="14">
        <v>45403</v>
      </c>
      <c r="C138" s="122"/>
      <c r="D138" s="123"/>
      <c r="E138" s="29"/>
      <c r="F138" s="1"/>
      <c r="G138" s="1"/>
      <c r="H138" s="1"/>
      <c r="I138" s="1"/>
      <c r="J138" s="1"/>
      <c r="K138" s="1"/>
      <c r="L138" s="1"/>
      <c r="M138" s="1"/>
    </row>
    <row r="139" spans="1:13" x14ac:dyDescent="0.35">
      <c r="A139" s="13" t="s">
        <v>20</v>
      </c>
      <c r="B139" s="14">
        <v>45404</v>
      </c>
      <c r="C139" s="122">
        <v>1242</v>
      </c>
      <c r="D139" s="124">
        <v>18</v>
      </c>
      <c r="E139" s="68">
        <v>0</v>
      </c>
      <c r="F139" s="1"/>
      <c r="G139" s="1"/>
      <c r="H139" s="1"/>
      <c r="I139" s="1"/>
      <c r="J139" s="1"/>
      <c r="K139" s="1"/>
      <c r="L139" s="1"/>
      <c r="M139" s="1"/>
    </row>
    <row r="140" spans="1:13" x14ac:dyDescent="0.35">
      <c r="A140" s="13" t="s">
        <v>22</v>
      </c>
      <c r="B140" s="14">
        <v>45405</v>
      </c>
      <c r="C140" s="122">
        <v>4980</v>
      </c>
      <c r="D140" s="123">
        <v>24</v>
      </c>
      <c r="E140" s="59">
        <v>0</v>
      </c>
      <c r="F140" s="1"/>
      <c r="G140" s="1"/>
      <c r="H140" s="1"/>
      <c r="I140" s="1"/>
      <c r="J140" s="1"/>
      <c r="K140" s="1"/>
      <c r="L140" s="1"/>
      <c r="M140" s="1"/>
    </row>
    <row r="141" spans="1:13" x14ac:dyDescent="0.35">
      <c r="A141" s="13" t="s">
        <v>24</v>
      </c>
      <c r="B141" s="14">
        <v>45406</v>
      </c>
      <c r="C141" s="122">
        <v>3223</v>
      </c>
      <c r="D141" s="124">
        <v>19</v>
      </c>
      <c r="E141" s="65">
        <v>1</v>
      </c>
      <c r="F141" s="1"/>
      <c r="G141" s="1"/>
      <c r="H141" s="1"/>
      <c r="I141" s="1"/>
      <c r="J141" s="1"/>
      <c r="K141" s="1"/>
      <c r="L141" s="1"/>
      <c r="M141" s="1"/>
    </row>
    <row r="142" spans="1:13" x14ac:dyDescent="0.35">
      <c r="A142" s="13" t="s">
        <v>10</v>
      </c>
      <c r="B142" s="14">
        <v>45407</v>
      </c>
      <c r="C142" s="122">
        <v>1872</v>
      </c>
      <c r="D142" s="123">
        <v>16</v>
      </c>
      <c r="E142" s="59">
        <v>0</v>
      </c>
      <c r="F142" s="1"/>
      <c r="G142" s="1"/>
      <c r="H142" s="1"/>
      <c r="I142" s="1"/>
      <c r="J142" s="1"/>
      <c r="K142" s="1"/>
      <c r="L142" s="1"/>
      <c r="M142" s="1"/>
    </row>
    <row r="143" spans="1:13" x14ac:dyDescent="0.35">
      <c r="A143" s="13" t="s">
        <v>13</v>
      </c>
      <c r="B143" s="14">
        <v>45408</v>
      </c>
      <c r="C143" s="126">
        <v>4420</v>
      </c>
      <c r="D143" s="124">
        <v>21</v>
      </c>
      <c r="E143" s="68">
        <v>0</v>
      </c>
      <c r="F143" s="1"/>
      <c r="G143" s="1"/>
      <c r="H143" s="1"/>
      <c r="I143" s="1"/>
      <c r="J143" s="1"/>
      <c r="K143" s="1"/>
      <c r="L143" s="1"/>
      <c r="M143" s="1"/>
    </row>
    <row r="144" spans="1:13" x14ac:dyDescent="0.35">
      <c r="A144" s="13" t="s">
        <v>16</v>
      </c>
      <c r="B144" s="14">
        <v>45409</v>
      </c>
      <c r="C144" s="127">
        <v>1164</v>
      </c>
      <c r="D144" s="123">
        <v>16</v>
      </c>
      <c r="E144" s="39">
        <v>0</v>
      </c>
      <c r="F144" s="1"/>
      <c r="G144" s="1"/>
      <c r="H144" s="1"/>
      <c r="I144" s="1"/>
      <c r="J144" s="1"/>
      <c r="K144" s="1"/>
      <c r="L144" s="1"/>
      <c r="M144" s="1"/>
    </row>
    <row r="145" spans="1:14" x14ac:dyDescent="0.35">
      <c r="A145" s="13" t="s">
        <v>18</v>
      </c>
      <c r="B145" s="14">
        <v>45410</v>
      </c>
      <c r="C145" s="128"/>
      <c r="D145" s="124"/>
      <c r="E145" s="23"/>
      <c r="F145" s="1"/>
      <c r="G145" s="1"/>
      <c r="H145" s="1"/>
      <c r="I145" s="1"/>
      <c r="J145" s="1"/>
      <c r="K145" s="1"/>
      <c r="L145" s="1"/>
      <c r="M145" s="1"/>
    </row>
    <row r="146" spans="1:14" x14ac:dyDescent="0.35">
      <c r="A146" s="13" t="s">
        <v>20</v>
      </c>
      <c r="B146" s="14">
        <v>45411</v>
      </c>
      <c r="C146" s="127">
        <v>1345</v>
      </c>
      <c r="D146" s="123">
        <v>16</v>
      </c>
      <c r="E146" s="39">
        <v>1</v>
      </c>
      <c r="F146" s="1"/>
      <c r="G146" s="1"/>
      <c r="H146" s="1"/>
      <c r="I146" s="1"/>
      <c r="J146" s="1"/>
      <c r="K146" s="1"/>
      <c r="L146" s="1"/>
      <c r="M146" s="1"/>
    </row>
    <row r="147" spans="1:14" x14ac:dyDescent="0.35">
      <c r="A147" s="13" t="s">
        <v>22</v>
      </c>
      <c r="B147" s="14">
        <v>45412</v>
      </c>
      <c r="C147" s="128">
        <v>4073</v>
      </c>
      <c r="D147" s="124">
        <v>19</v>
      </c>
      <c r="E147" s="23"/>
      <c r="F147" s="1"/>
      <c r="G147" s="1"/>
      <c r="H147" s="1"/>
      <c r="I147" s="1"/>
      <c r="J147" s="1"/>
      <c r="K147" s="1"/>
      <c r="L147" s="1"/>
      <c r="M147" s="1"/>
    </row>
    <row r="148" spans="1:14" x14ac:dyDescent="0.35">
      <c r="A148" s="13"/>
      <c r="B148" s="14"/>
      <c r="C148" s="129"/>
      <c r="D148" s="130">
        <v>12</v>
      </c>
      <c r="E148" s="104"/>
      <c r="F148" s="1"/>
      <c r="G148" s="1"/>
      <c r="H148" s="1"/>
      <c r="I148" s="1"/>
      <c r="J148" s="1"/>
      <c r="K148" s="1"/>
      <c r="L148" s="1"/>
      <c r="M148" s="1"/>
    </row>
    <row r="149" spans="1:14" x14ac:dyDescent="0.35">
      <c r="A149" s="78"/>
      <c r="B149" s="105"/>
      <c r="C149" s="131">
        <f>SUM(C118:C148)</f>
        <v>67460</v>
      </c>
      <c r="D149" s="132">
        <f>SUM(D118:D148)</f>
        <v>465</v>
      </c>
      <c r="E149" s="133">
        <f>SUM(E118:E148)</f>
        <v>5</v>
      </c>
      <c r="F149" s="1"/>
      <c r="G149" s="1"/>
      <c r="H149" s="1"/>
      <c r="I149" s="1"/>
      <c r="J149" s="1"/>
      <c r="K149" s="1"/>
      <c r="L149" s="1"/>
      <c r="M149" s="1"/>
    </row>
    <row r="150" spans="1:14" x14ac:dyDescent="0.35">
      <c r="A150" s="1"/>
      <c r="B150" s="84"/>
      <c r="C150" s="72"/>
      <c r="D150" s="1"/>
      <c r="E150" s="72"/>
      <c r="F150" s="72"/>
      <c r="G150" s="1"/>
      <c r="H150" s="1"/>
      <c r="I150" s="1"/>
      <c r="J150" s="1"/>
      <c r="K150" s="1"/>
      <c r="L150" s="1"/>
      <c r="M150" s="1"/>
    </row>
    <row r="151" spans="1:14" x14ac:dyDescent="0.35">
      <c r="A151" s="1"/>
      <c r="B151" s="134"/>
      <c r="C151" s="72"/>
      <c r="D151" s="1"/>
      <c r="E151" s="72"/>
      <c r="F151" s="1"/>
      <c r="G151" s="1"/>
      <c r="H151" s="1"/>
      <c r="I151" s="1"/>
      <c r="J151" s="1"/>
      <c r="K151" s="1"/>
      <c r="L151" s="1"/>
      <c r="M151" s="1"/>
    </row>
    <row r="152" spans="1:14" ht="15" thickBot="1" x14ac:dyDescent="0.4">
      <c r="A152" s="1"/>
      <c r="B152" s="1"/>
      <c r="C152" s="88"/>
      <c r="D152" s="88"/>
      <c r="E152" s="87"/>
      <c r="F152" s="88"/>
      <c r="G152" s="88"/>
      <c r="H152" s="1"/>
      <c r="I152" s="1"/>
      <c r="J152" s="1"/>
      <c r="K152" s="1"/>
      <c r="L152" s="1"/>
      <c r="M152" s="1"/>
    </row>
    <row r="153" spans="1:14" x14ac:dyDescent="0.35">
      <c r="A153" s="135"/>
      <c r="B153" s="136" t="s">
        <v>114</v>
      </c>
      <c r="C153" s="137" t="s">
        <v>93</v>
      </c>
      <c r="D153" s="138" t="s">
        <v>1159</v>
      </c>
      <c r="E153" s="139"/>
      <c r="F153" s="88"/>
      <c r="G153" s="88"/>
      <c r="H153" s="88"/>
      <c r="I153" s="88"/>
      <c r="J153" s="88"/>
      <c r="K153" s="139" t="s">
        <v>111</v>
      </c>
      <c r="L153" s="139" t="s">
        <v>112</v>
      </c>
      <c r="M153" s="139" t="s">
        <v>113</v>
      </c>
      <c r="N153" s="139" t="s">
        <v>114</v>
      </c>
    </row>
    <row r="154" spans="1:14" x14ac:dyDescent="0.35">
      <c r="A154" s="140" t="s">
        <v>99</v>
      </c>
      <c r="B154" s="141">
        <f>C35/26*26</f>
        <v>75374</v>
      </c>
      <c r="C154" s="142">
        <f>B154-68000</f>
        <v>7374</v>
      </c>
      <c r="D154" s="143">
        <v>61891.916666666664</v>
      </c>
      <c r="E154" s="144" t="s">
        <v>99</v>
      </c>
      <c r="F154" s="72"/>
      <c r="G154" s="1"/>
      <c r="H154" s="1"/>
      <c r="I154" s="1"/>
      <c r="J154" s="1"/>
      <c r="K154" s="145">
        <v>59678</v>
      </c>
      <c r="L154" s="146">
        <v>65325</v>
      </c>
      <c r="M154" s="147">
        <v>71363</v>
      </c>
      <c r="N154" s="147">
        <v>75374</v>
      </c>
    </row>
    <row r="155" spans="1:14" x14ac:dyDescent="0.35">
      <c r="A155" s="148" t="s">
        <v>37</v>
      </c>
      <c r="B155" s="141">
        <f>C74/26*26</f>
        <v>55612.000000000007</v>
      </c>
      <c r="C155" s="142">
        <f>B155-45000</f>
        <v>10612.000000000007</v>
      </c>
      <c r="D155" s="143">
        <v>45358.333333333336</v>
      </c>
      <c r="E155" s="144" t="s">
        <v>37</v>
      </c>
      <c r="F155" s="72"/>
      <c r="G155" s="1"/>
      <c r="H155" s="1"/>
      <c r="I155" s="1"/>
      <c r="J155" s="1"/>
      <c r="K155" s="145">
        <v>43365</v>
      </c>
      <c r="L155" s="146">
        <v>38287</v>
      </c>
      <c r="M155" s="147">
        <v>45858</v>
      </c>
      <c r="N155" s="147">
        <v>55612</v>
      </c>
    </row>
    <row r="156" spans="1:14" x14ac:dyDescent="0.35">
      <c r="A156" s="148" t="s">
        <v>100</v>
      </c>
      <c r="B156" s="141">
        <f>C110/26*26</f>
        <v>56144</v>
      </c>
      <c r="C156" s="142">
        <f>B156-56000</f>
        <v>144</v>
      </c>
      <c r="D156" s="143">
        <v>39284.25</v>
      </c>
      <c r="E156" s="144" t="s">
        <v>100</v>
      </c>
      <c r="F156" s="72"/>
      <c r="G156" s="1"/>
      <c r="H156" s="1"/>
      <c r="I156" s="1"/>
      <c r="J156" s="1"/>
      <c r="K156" s="145">
        <v>43344</v>
      </c>
      <c r="L156" s="146">
        <v>54088</v>
      </c>
      <c r="M156" s="147">
        <v>56961</v>
      </c>
      <c r="N156" s="147">
        <v>56144</v>
      </c>
    </row>
    <row r="157" spans="1:14" ht="15" thickBot="1" x14ac:dyDescent="0.4">
      <c r="A157" s="149" t="s">
        <v>88</v>
      </c>
      <c r="B157" s="141">
        <f>C149/26*26</f>
        <v>67460</v>
      </c>
      <c r="C157" s="150"/>
      <c r="D157" s="1"/>
      <c r="E157" s="72"/>
      <c r="F157" s="1"/>
      <c r="G157" s="1"/>
      <c r="H157" s="1"/>
      <c r="I157" s="1"/>
      <c r="J157" s="1"/>
      <c r="K157" s="145">
        <v>34063</v>
      </c>
      <c r="L157" s="146">
        <v>44190</v>
      </c>
      <c r="M157" s="147">
        <v>32129</v>
      </c>
      <c r="N157" s="147">
        <v>67460</v>
      </c>
    </row>
    <row r="158" spans="1:14" ht="15" thickBot="1" x14ac:dyDescent="0.4">
      <c r="A158" s="151" t="s">
        <v>101</v>
      </c>
      <c r="B158" s="152">
        <f>SUM(B154:B157)</f>
        <v>254590</v>
      </c>
      <c r="C158" s="153">
        <f>SUM(C154:C156)</f>
        <v>18130.000000000007</v>
      </c>
      <c r="D158" s="1"/>
      <c r="E158" s="1"/>
      <c r="F158" s="1"/>
      <c r="G158" s="1"/>
      <c r="H158" s="1"/>
      <c r="I158" s="1"/>
      <c r="J158" s="1"/>
      <c r="K158" s="154">
        <v>180450</v>
      </c>
      <c r="L158" s="154">
        <f>SUM(L154:L157)</f>
        <v>201890</v>
      </c>
      <c r="M158" s="154">
        <f>SUM(M154:M157)</f>
        <v>206311</v>
      </c>
      <c r="N158" s="154">
        <f>SUM(N154:N157)</f>
        <v>254590</v>
      </c>
    </row>
    <row r="159" spans="1:14" x14ac:dyDescent="0.35">
      <c r="A159" s="155"/>
      <c r="B159" s="156">
        <f>B158/26</f>
        <v>9791.9230769230762</v>
      </c>
      <c r="C159" s="157"/>
      <c r="D159" s="155"/>
      <c r="E159" s="155"/>
      <c r="F159" s="155"/>
      <c r="G159" s="155"/>
      <c r="H159" s="155"/>
      <c r="I159" s="155"/>
      <c r="J159" s="155"/>
      <c r="K159" s="158">
        <f>K158/27</f>
        <v>6683.333333333333</v>
      </c>
      <c r="L159" s="158">
        <f>L158/25</f>
        <v>8075.6</v>
      </c>
      <c r="M159" s="158">
        <f>M158/26</f>
        <v>7935.0384615384619</v>
      </c>
      <c r="N159" s="158">
        <f>N158/26</f>
        <v>9791.9230769230762</v>
      </c>
    </row>
    <row r="160" spans="1:14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35">
      <c r="A161" s="159" t="s">
        <v>102</v>
      </c>
      <c r="B161" s="159" t="s">
        <v>127</v>
      </c>
      <c r="C161" s="159" t="s">
        <v>116</v>
      </c>
      <c r="D161" s="159" t="s">
        <v>117</v>
      </c>
      <c r="E161" s="159" t="s">
        <v>118</v>
      </c>
      <c r="F161" s="159" t="s">
        <v>119</v>
      </c>
      <c r="G161" s="159" t="s">
        <v>120</v>
      </c>
      <c r="H161" s="159" t="s">
        <v>121</v>
      </c>
      <c r="I161" s="159" t="s">
        <v>122</v>
      </c>
      <c r="J161" s="159" t="s">
        <v>123</v>
      </c>
      <c r="K161" s="159" t="s">
        <v>124</v>
      </c>
      <c r="L161" s="159" t="s">
        <v>125</v>
      </c>
      <c r="M161" s="159" t="s">
        <v>126</v>
      </c>
    </row>
    <row r="162" spans="1:13" x14ac:dyDescent="0.35">
      <c r="A162" s="160" t="s">
        <v>99</v>
      </c>
      <c r="B162" s="160">
        <v>58127</v>
      </c>
      <c r="C162" s="160">
        <v>74979</v>
      </c>
      <c r="D162" s="160">
        <v>63950</v>
      </c>
      <c r="E162" s="160">
        <v>73973</v>
      </c>
      <c r="F162" s="160">
        <v>63776</v>
      </c>
      <c r="G162" s="160">
        <v>62209</v>
      </c>
      <c r="H162" s="160">
        <v>61961</v>
      </c>
      <c r="I162" s="160">
        <v>62927</v>
      </c>
      <c r="J162" s="160">
        <v>50792</v>
      </c>
      <c r="K162" s="160">
        <v>55786</v>
      </c>
      <c r="L162" s="160">
        <v>48081</v>
      </c>
      <c r="M162" s="160">
        <v>66142</v>
      </c>
    </row>
    <row r="163" spans="1:13" x14ac:dyDescent="0.35">
      <c r="A163" s="160" t="s">
        <v>37</v>
      </c>
      <c r="B163" s="160">
        <v>42706</v>
      </c>
      <c r="C163" s="160">
        <v>48870</v>
      </c>
      <c r="D163" s="160">
        <v>44783</v>
      </c>
      <c r="E163" s="160">
        <v>58612</v>
      </c>
      <c r="F163" s="160">
        <v>59247</v>
      </c>
      <c r="G163" s="160">
        <v>49882</v>
      </c>
      <c r="H163" s="160">
        <v>42564</v>
      </c>
      <c r="I163" s="160">
        <v>44217</v>
      </c>
      <c r="J163" s="160">
        <v>42911</v>
      </c>
      <c r="K163" s="160">
        <v>40388</v>
      </c>
      <c r="L163" s="160">
        <v>32034</v>
      </c>
      <c r="M163" s="160">
        <v>38086</v>
      </c>
    </row>
    <row r="164" spans="1:13" x14ac:dyDescent="0.35">
      <c r="A164" s="160" t="s">
        <v>100</v>
      </c>
      <c r="B164" s="160">
        <v>26635</v>
      </c>
      <c r="C164" s="160">
        <v>38487</v>
      </c>
      <c r="D164" s="160">
        <v>41827</v>
      </c>
      <c r="E164" s="160">
        <v>48432</v>
      </c>
      <c r="F164" s="160">
        <v>45807</v>
      </c>
      <c r="G164" s="160">
        <v>47219</v>
      </c>
      <c r="H164" s="160">
        <v>49140</v>
      </c>
      <c r="I164" s="160">
        <v>45889</v>
      </c>
      <c r="J164" s="160">
        <v>42002</v>
      </c>
      <c r="K164" s="160">
        <v>29164</v>
      </c>
      <c r="L164" s="160">
        <v>24425</v>
      </c>
      <c r="M164" s="160">
        <v>32384</v>
      </c>
    </row>
    <row r="165" spans="1:13" x14ac:dyDescent="0.35">
      <c r="A165" s="160" t="s">
        <v>88</v>
      </c>
      <c r="B165" s="160">
        <v>89693</v>
      </c>
      <c r="C165" s="160">
        <v>115741.16666666666</v>
      </c>
      <c r="D165" s="160">
        <v>92550</v>
      </c>
      <c r="E165" s="160">
        <v>102728</v>
      </c>
      <c r="F165" s="160">
        <v>102029</v>
      </c>
      <c r="G165" s="160">
        <v>73495</v>
      </c>
      <c r="H165" s="160">
        <v>77358</v>
      </c>
      <c r="I165" s="160">
        <v>75185</v>
      </c>
      <c r="J165" s="160">
        <v>62889</v>
      </c>
      <c r="K165" s="160">
        <v>78647</v>
      </c>
      <c r="L165" s="160">
        <v>71233</v>
      </c>
      <c r="M165" s="160">
        <v>80881</v>
      </c>
    </row>
    <row r="166" spans="1:13" x14ac:dyDescent="0.35">
      <c r="A166" s="161" t="s">
        <v>101</v>
      </c>
      <c r="B166" s="162">
        <v>217161</v>
      </c>
      <c r="C166" s="162">
        <f>SUM(C162:C165)</f>
        <v>278077.16666666663</v>
      </c>
      <c r="D166" s="162">
        <f>SUM(D162:D165)</f>
        <v>243110</v>
      </c>
      <c r="E166" s="162">
        <v>283745</v>
      </c>
      <c r="F166" s="162">
        <v>270859</v>
      </c>
      <c r="G166" s="162">
        <v>232805</v>
      </c>
      <c r="H166" s="162">
        <v>231023</v>
      </c>
      <c r="I166" s="162">
        <v>228218</v>
      </c>
      <c r="J166" s="162">
        <v>198594</v>
      </c>
      <c r="K166" s="162">
        <v>203985</v>
      </c>
      <c r="L166" s="162">
        <v>175773</v>
      </c>
      <c r="M166" s="162">
        <v>217493</v>
      </c>
    </row>
    <row r="167" spans="1:13" x14ac:dyDescent="0.35">
      <c r="A167" s="163" t="s">
        <v>607</v>
      </c>
      <c r="B167" s="164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</row>
    <row r="168" spans="1:13" x14ac:dyDescent="0.35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</row>
    <row r="169" spans="1:13" x14ac:dyDescent="0.35">
      <c r="A169" s="159" t="s">
        <v>102</v>
      </c>
      <c r="B169" s="159" t="s">
        <v>139</v>
      </c>
      <c r="C169" s="159" t="s">
        <v>128</v>
      </c>
      <c r="D169" s="159" t="s">
        <v>129</v>
      </c>
      <c r="E169" s="159" t="s">
        <v>130</v>
      </c>
      <c r="F169" s="159" t="s">
        <v>131</v>
      </c>
      <c r="G169" s="159" t="s">
        <v>132</v>
      </c>
      <c r="H169" s="159" t="s">
        <v>133</v>
      </c>
      <c r="I169" s="159" t="s">
        <v>134</v>
      </c>
      <c r="J169" s="159" t="s">
        <v>135</v>
      </c>
      <c r="K169" s="166" t="s">
        <v>136</v>
      </c>
      <c r="L169" s="159" t="s">
        <v>137</v>
      </c>
      <c r="M169" s="159" t="s">
        <v>138</v>
      </c>
    </row>
    <row r="170" spans="1:13" x14ac:dyDescent="0.35">
      <c r="A170" s="167" t="s">
        <v>99</v>
      </c>
      <c r="B170" s="168">
        <v>63396</v>
      </c>
      <c r="C170" s="168">
        <v>52819.21</v>
      </c>
      <c r="D170" s="168">
        <v>53324</v>
      </c>
      <c r="E170" s="168">
        <v>61519</v>
      </c>
      <c r="F170" s="168">
        <v>70743</v>
      </c>
      <c r="G170" s="169">
        <v>55027</v>
      </c>
      <c r="H170" s="169">
        <v>54932</v>
      </c>
      <c r="I170" s="169">
        <v>43776</v>
      </c>
      <c r="J170" s="169">
        <v>49810</v>
      </c>
      <c r="K170" s="170">
        <v>75616</v>
      </c>
      <c r="L170" s="168">
        <v>68029</v>
      </c>
      <c r="M170" s="168">
        <v>59606</v>
      </c>
    </row>
    <row r="171" spans="1:13" x14ac:dyDescent="0.35">
      <c r="A171" s="167" t="s">
        <v>37</v>
      </c>
      <c r="B171" s="168">
        <v>39971</v>
      </c>
      <c r="C171" s="168">
        <v>33459.82</v>
      </c>
      <c r="D171" s="168">
        <v>39860</v>
      </c>
      <c r="E171" s="168">
        <v>41717</v>
      </c>
      <c r="F171" s="168">
        <v>40181</v>
      </c>
      <c r="G171" s="169">
        <v>41079</v>
      </c>
      <c r="H171" s="169">
        <v>39875</v>
      </c>
      <c r="I171" s="169">
        <v>35835</v>
      </c>
      <c r="J171" s="169">
        <v>28946</v>
      </c>
      <c r="K171" s="170">
        <v>43422</v>
      </c>
      <c r="L171" s="168">
        <v>35147</v>
      </c>
      <c r="M171" s="168">
        <v>37370</v>
      </c>
    </row>
    <row r="172" spans="1:13" x14ac:dyDescent="0.35">
      <c r="A172" s="167" t="s">
        <v>100</v>
      </c>
      <c r="B172" s="168">
        <v>3428</v>
      </c>
      <c r="C172" s="168">
        <v>13471.49</v>
      </c>
      <c r="D172" s="168">
        <v>12544</v>
      </c>
      <c r="E172" s="168">
        <v>13788</v>
      </c>
      <c r="F172" s="168">
        <v>17451</v>
      </c>
      <c r="G172" s="169">
        <v>20924</v>
      </c>
      <c r="H172" s="169">
        <v>23756</v>
      </c>
      <c r="I172" s="169">
        <v>18015</v>
      </c>
      <c r="J172" s="169">
        <v>15778</v>
      </c>
      <c r="K172" s="171" t="s">
        <v>140</v>
      </c>
      <c r="L172" s="159"/>
      <c r="M172" s="159"/>
    </row>
    <row r="173" spans="1:13" x14ac:dyDescent="0.35">
      <c r="A173" s="167" t="s">
        <v>88</v>
      </c>
      <c r="B173" s="168">
        <v>49038</v>
      </c>
      <c r="C173" s="168">
        <v>21042</v>
      </c>
      <c r="D173" s="168">
        <v>35748</v>
      </c>
      <c r="E173" s="168">
        <v>44347</v>
      </c>
      <c r="F173" s="168">
        <v>72570</v>
      </c>
      <c r="G173" s="169">
        <v>89947</v>
      </c>
      <c r="H173" s="169">
        <v>99078</v>
      </c>
      <c r="I173" s="169">
        <v>75226</v>
      </c>
      <c r="J173" s="169">
        <v>76874</v>
      </c>
      <c r="K173" s="170">
        <v>51000</v>
      </c>
      <c r="L173" s="168">
        <v>41240</v>
      </c>
      <c r="M173" s="168">
        <v>47352</v>
      </c>
    </row>
    <row r="174" spans="1:13" x14ac:dyDescent="0.35">
      <c r="A174" s="161" t="s">
        <v>101</v>
      </c>
      <c r="B174" s="172">
        <f>SUM(B170:B173)</f>
        <v>155833</v>
      </c>
      <c r="C174" s="172">
        <f>SUM(C170:C173)</f>
        <v>120792.52</v>
      </c>
      <c r="D174" s="172">
        <f>SUM(D170:D173)</f>
        <v>141476</v>
      </c>
      <c r="E174" s="172">
        <f>SUM(E170:E173)</f>
        <v>161371</v>
      </c>
      <c r="F174" s="172">
        <f>SUM(F170:F173)</f>
        <v>200945</v>
      </c>
      <c r="G174" s="162">
        <v>206977</v>
      </c>
      <c r="H174" s="162">
        <v>217641</v>
      </c>
      <c r="I174" s="162">
        <v>172852</v>
      </c>
      <c r="J174" s="162">
        <v>171408</v>
      </c>
      <c r="K174" s="173">
        <v>170038</v>
      </c>
      <c r="L174" s="172">
        <f>SUM(L170:L173)</f>
        <v>144416</v>
      </c>
      <c r="M174" s="172">
        <f>SUM(M170:M173)</f>
        <v>144328</v>
      </c>
    </row>
  </sheetData>
  <mergeCells count="13">
    <mergeCell ref="B1:F1"/>
    <mergeCell ref="B2:B3"/>
    <mergeCell ref="C2:C3"/>
    <mergeCell ref="J4:K4"/>
    <mergeCell ref="B41:B42"/>
    <mergeCell ref="C41:C42"/>
    <mergeCell ref="J41:K41"/>
    <mergeCell ref="B77:B78"/>
    <mergeCell ref="C77:C78"/>
    <mergeCell ref="J78:K78"/>
    <mergeCell ref="A114:B117"/>
    <mergeCell ref="C114:E115"/>
    <mergeCell ref="C116:C117"/>
  </mergeCells>
  <conditionalFormatting sqref="A43:E43 G43 A44:G73 A79:G79 C80:G104 A80:B109 C105:F105 C106:G106 C107:E107 G107 C108:G109">
    <cfRule type="expression" dxfId="5" priority="3">
      <formula>ISEVEN(ROW())</formula>
    </cfRule>
  </conditionalFormatting>
  <conditionalFormatting sqref="A4:G4">
    <cfRule type="expression" dxfId="4" priority="1">
      <formula>ISODD(ROW())</formula>
    </cfRule>
  </conditionalFormatting>
  <conditionalFormatting sqref="C5:E5">
    <cfRule type="expression" dxfId="3" priority="2">
      <formula>ISEVEN(ROW())</formula>
    </cfRule>
  </conditionalFormatting>
  <conditionalFormatting sqref="F5:G5 A5:B34 C6:G34 A118:E148">
    <cfRule type="expression" dxfId="2" priority="4">
      <formula>ISODD(ROW())</formula>
    </cfRule>
  </conditionalFormatting>
  <conditionalFormatting sqref="L2:L16 L18:L21 L27:L32 L34:L35 K37:K39 M41:M43 M49:M60 L55:L59 L65:L68 M65:M74 M77:M112 H114:H151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161FB2CE7F947B494941A12784676" ma:contentTypeVersion="6" ma:contentTypeDescription="Create a new document." ma:contentTypeScope="" ma:versionID="8cec47b6ca5ae02dbc3d2b6610e32da9">
  <xsd:schema xmlns:xsd="http://www.w3.org/2001/XMLSchema" xmlns:xs="http://www.w3.org/2001/XMLSchema" xmlns:p="http://schemas.microsoft.com/office/2006/metadata/properties" xmlns:ns2="e64ab658-ea26-42df-bd98-fe1df871ab35" xmlns:ns3="b70425d1-4b10-47a1-b954-4a1964a7af7c" targetNamespace="http://schemas.microsoft.com/office/2006/metadata/properties" ma:root="true" ma:fieldsID="6a60adb5e2df3b827adb058fb615bfe4" ns2:_="" ns3:_="">
    <xsd:import namespace="e64ab658-ea26-42df-bd98-fe1df871ab35"/>
    <xsd:import namespace="b70425d1-4b10-47a1-b954-4a1964a7af7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ab658-ea26-42df-bd98-fe1df871ab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425d1-4b10-47a1-b954-4a1964a7a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4A57C7-908E-467A-BB97-C463E096DB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4ab658-ea26-42df-bd98-fe1df871ab35"/>
    <ds:schemaRef ds:uri="b70425d1-4b10-47a1-b954-4a1964a7af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962B39-8881-4C61-8C47-EC0FD9F8BC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436EDF-ED06-4896-8094-24401FBCA47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May 25</vt:lpstr>
      <vt:lpstr>April 25 </vt:lpstr>
      <vt:lpstr>March 25</vt:lpstr>
      <vt:lpstr>February 25 </vt:lpstr>
      <vt:lpstr>January 25</vt:lpstr>
      <vt:lpstr>December 24</vt:lpstr>
      <vt:lpstr>November 24</vt:lpstr>
      <vt:lpstr>October 24</vt:lpstr>
      <vt:lpstr>September 24</vt:lpstr>
      <vt:lpstr>August 24</vt:lpstr>
      <vt:lpstr>July 24</vt:lpstr>
      <vt:lpstr>June 24</vt:lpstr>
      <vt:lpstr>May 24</vt:lpstr>
      <vt:lpstr>April 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Benson, Steve</cp:lastModifiedBy>
  <cp:revision/>
  <dcterms:created xsi:type="dcterms:W3CDTF">2024-04-25T16:56:12Z</dcterms:created>
  <dcterms:modified xsi:type="dcterms:W3CDTF">2025-05-22T13:47:47Z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0x010100049161FB2CE7F947B494941A12784676</vt:lpwstr>
  </property>
</Properties>
</file>